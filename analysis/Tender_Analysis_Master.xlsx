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DHILA\OneDrive\Documents\Claude\Projects\Optimisasi Linkedin\"/>
    </mc:Choice>
  </mc:AlternateContent>
  <xr:revisionPtr revIDLastSave="0" documentId="13_ncr:1_{30B35DEF-41E3-454A-9129-B117FD213516}" xr6:coauthVersionLast="47" xr6:coauthVersionMax="47" xr10:uidLastSave="{00000000-0000-0000-0000-000000000000}"/>
  <bookViews>
    <workbookView xWindow="-120" yWindow="-120" windowWidth="29040" windowHeight="15840" activeTab="4" xr2:uid="{BD4F0882-F232-497B-BC4B-4FB591D63578}"/>
  </bookViews>
  <sheets>
    <sheet name="RAW_Data" sheetId="1" r:id="rId1"/>
    <sheet name="Calculation" sheetId="5" r:id="rId2"/>
    <sheet name="Pivot_Analyses" sheetId="6" r:id="rId3"/>
    <sheet name="Insight" sheetId="8" r:id="rId4"/>
    <sheet name="Dashboard" sheetId="7" r:id="rId5"/>
  </sheets>
  <definedNames>
    <definedName name="_xlnm.Print_Area" localSheetId="2">Pivot_Analyses!$A$1:$Q$118</definedName>
    <definedName name="_xlnm.Print_Area" localSheetId="0">RAW_Data!$A$1:$T$108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7" i="6" l="1"/>
  <c r="G138" i="6"/>
  <c r="G139" i="6"/>
  <c r="G140" i="6"/>
  <c r="G141" i="6"/>
  <c r="G142" i="6"/>
  <c r="G143" i="6"/>
  <c r="G144" i="6"/>
  <c r="F143" i="6"/>
  <c r="F144" i="6"/>
  <c r="F142" i="6"/>
  <c r="F141" i="6"/>
  <c r="F140" i="6"/>
  <c r="F139" i="6"/>
  <c r="F138" i="6"/>
  <c r="F137" i="6"/>
  <c r="E138" i="6"/>
  <c r="E139" i="6"/>
  <c r="E140" i="6"/>
  <c r="E141" i="6"/>
  <c r="E142" i="6"/>
  <c r="E143" i="6"/>
  <c r="E144" i="6"/>
  <c r="E137" i="6"/>
  <c r="B42" i="5" a="1"/>
  <c r="B42" i="5" s="1"/>
  <c r="B36" i="5"/>
  <c r="B35" i="5"/>
  <c r="B34" i="5"/>
  <c r="B33" i="5"/>
  <c r="B32" i="5"/>
  <c r="B40" i="5"/>
  <c r="B39" i="5"/>
  <c r="B20" i="5"/>
  <c r="B19" i="5"/>
  <c r="I113" i="6"/>
  <c r="I114" i="6"/>
  <c r="I115" i="6"/>
  <c r="B28" i="5" s="1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G129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13" i="6"/>
  <c r="H64" i="6"/>
  <c r="H63" i="6"/>
  <c r="H62" i="6"/>
  <c r="H65" i="6" s="1"/>
  <c r="G63" i="6"/>
  <c r="G64" i="6"/>
  <c r="G62" i="6"/>
  <c r="E65" i="6"/>
  <c r="D65" i="6"/>
  <c r="E64" i="6"/>
  <c r="D64" i="6"/>
  <c r="E63" i="6"/>
  <c r="D63" i="6"/>
  <c r="E62" i="6"/>
  <c r="D62" i="6"/>
  <c r="N30" i="6"/>
  <c r="N31" i="6"/>
  <c r="N32" i="6"/>
  <c r="N29" i="6"/>
  <c r="I28" i="6"/>
  <c r="J31" i="6"/>
  <c r="O31" i="6" s="1"/>
  <c r="I31" i="6"/>
  <c r="K32" i="6"/>
  <c r="Q32" i="6" s="1"/>
  <c r="K31" i="6"/>
  <c r="Q31" i="6" s="1"/>
  <c r="K30" i="6"/>
  <c r="Q30" i="6" s="1"/>
  <c r="K29" i="6"/>
  <c r="Q29" i="6" s="1"/>
  <c r="K28" i="6"/>
  <c r="Q28" i="6" s="1"/>
  <c r="J32" i="6"/>
  <c r="O32" i="6" s="1"/>
  <c r="J30" i="6"/>
  <c r="O30" i="6" s="1"/>
  <c r="J29" i="6"/>
  <c r="O29" i="6" s="1"/>
  <c r="J28" i="6"/>
  <c r="O28" i="6" s="1"/>
  <c r="I32" i="6"/>
  <c r="I30" i="6"/>
  <c r="I29" i="6"/>
  <c r="E5" i="6"/>
  <c r="H4" i="6" s="1"/>
  <c r="E4" i="6"/>
  <c r="H3" i="6" s="1"/>
  <c r="E3" i="6"/>
  <c r="H5" i="6" s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B10" i="5"/>
  <c r="B9" i="5"/>
  <c r="B12" i="5"/>
  <c r="B11" i="5"/>
  <c r="B8" i="5"/>
  <c r="B7" i="5"/>
  <c r="B6" i="5"/>
  <c r="B5" i="5"/>
  <c r="B3" i="5"/>
  <c r="B4" i="5"/>
  <c r="B2" i="5"/>
  <c r="B41" i="5" l="1"/>
  <c r="B25" i="5"/>
  <c r="A63" i="8" s="1"/>
  <c r="B27" i="5"/>
  <c r="B26" i="5"/>
  <c r="A58" i="8"/>
  <c r="B21" i="5"/>
  <c r="L28" i="6"/>
  <c r="P28" i="6"/>
  <c r="L31" i="6"/>
  <c r="P31" i="6"/>
  <c r="P32" i="6"/>
  <c r="L32" i="6"/>
  <c r="P30" i="6"/>
  <c r="L30" i="6"/>
  <c r="L29" i="6"/>
  <c r="P29" i="6"/>
  <c r="B22" i="5" l="1" a="1"/>
  <c r="B22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<sst xmlns="http://schemas.openxmlformats.org/spreadsheetml/2006/main" count="1534" uniqueCount="387">
  <si>
    <t>Tender_ID</t>
  </si>
  <si>
    <t>Submission_Date</t>
  </si>
  <si>
    <t>Client_Industry</t>
  </si>
  <si>
    <t>Client_Region</t>
  </si>
  <si>
    <t>Equipment_Category</t>
  </si>
  <si>
    <t>Equipment_Type</t>
  </si>
  <si>
    <t>Project_Type</t>
  </si>
  <si>
    <t>Tender_Value_IDR</t>
  </si>
  <si>
    <t>Our_Bid_IDR</t>
  </si>
  <si>
    <t>Bid_Margin_Pct</t>
  </si>
  <si>
    <t>Lead_Time_Days</t>
  </si>
  <si>
    <t>Status</t>
  </si>
  <si>
    <t>Win_Loss_Reason</t>
  </si>
  <si>
    <t>Competitor_Type</t>
  </si>
  <si>
    <t>Principal_Origin</t>
  </si>
  <si>
    <t>Quotation_Revisions</t>
  </si>
  <si>
    <t>Decision_Maker_Level</t>
  </si>
  <si>
    <t>Tender_Quarter</t>
  </si>
  <si>
    <t>TND-2022-001</t>
  </si>
  <si>
    <t>Sugar</t>
  </si>
  <si>
    <t>Lampung</t>
  </si>
  <si>
    <t>Process Machinery</t>
  </si>
  <si>
    <t>Centrifugal Machine</t>
  </si>
  <si>
    <t>New Installation</t>
  </si>
  <si>
    <t>Win</t>
  </si>
  <si>
    <t>Better Technical Specs</t>
  </si>
  <si>
    <t>Local Distributor</t>
  </si>
  <si>
    <t>European</t>
  </si>
  <si>
    <t>Plant Manager</t>
  </si>
  <si>
    <t>Q1-2022</t>
  </si>
  <si>
    <t>TND-2022-002</t>
  </si>
  <si>
    <t>Pulp &amp; Paper</t>
  </si>
  <si>
    <t>Riau</t>
  </si>
  <si>
    <t>Power &amp; Utilities</t>
  </si>
  <si>
    <t>Generator 2MW</t>
  </si>
  <si>
    <t>Replacement</t>
  </si>
  <si>
    <t>Loss</t>
  </si>
  <si>
    <t>Higher Price</t>
  </si>
  <si>
    <t>International OEM</t>
  </si>
  <si>
    <t>Procurement Director</t>
  </si>
  <si>
    <t>TND-2022-003</t>
  </si>
  <si>
    <t>East Java</t>
  </si>
  <si>
    <t>Transformer 1500kVA</t>
  </si>
  <si>
    <t>Established Relationship</t>
  </si>
  <si>
    <t>Asian</t>
  </si>
  <si>
    <t>Engineering Head</t>
  </si>
  <si>
    <t>TND-2022-004</t>
  </si>
  <si>
    <t>Power Generation</t>
  </si>
  <si>
    <t>South Sumatra</t>
  </si>
  <si>
    <t>Instrumentation</t>
  </si>
  <si>
    <t>Pressure Sensors Set</t>
  </si>
  <si>
    <t>Faster Lead Time</t>
  </si>
  <si>
    <t>Procurement Manager</t>
  </si>
  <si>
    <t>TND-2022-005</t>
  </si>
  <si>
    <t>Central Java</t>
  </si>
  <si>
    <t>Material Handling</t>
  </si>
  <si>
    <t>Conveyor System</t>
  </si>
  <si>
    <t>Upgrade</t>
  </si>
  <si>
    <t>Technical Mismatch</t>
  </si>
  <si>
    <t>TND-2022-006</t>
  </si>
  <si>
    <t>East Kalimantan</t>
  </si>
  <si>
    <t>Electromotor 250HP</t>
  </si>
  <si>
    <t>TND-2022-007</t>
  </si>
  <si>
    <t>Q2-2022</t>
  </si>
  <si>
    <t>TND-2022-008</t>
  </si>
  <si>
    <t>Jakarta</t>
  </si>
  <si>
    <t>Generator 5MW</t>
  </si>
  <si>
    <t>TND-2022-009</t>
  </si>
  <si>
    <t>Control System Upgrade</t>
  </si>
  <si>
    <t>TND-2022-010</t>
  </si>
  <si>
    <t>Pump Set Industrial</t>
  </si>
  <si>
    <t>TND-2022-011</t>
  </si>
  <si>
    <t>Inverter VSD 200HP</t>
  </si>
  <si>
    <t>TND-2022-012</t>
  </si>
  <si>
    <t>West Java</t>
  </si>
  <si>
    <t>Gearbox Heavy Duty</t>
  </si>
  <si>
    <t>TND-2022-013</t>
  </si>
  <si>
    <t>Spare Parts</t>
  </si>
  <si>
    <t>Bearing &amp; Seals Bundle</t>
  </si>
  <si>
    <t>TND-2022-014</t>
  </si>
  <si>
    <t>Lost to Tender Specs</t>
  </si>
  <si>
    <t>Q3-2022</t>
  </si>
  <si>
    <t>TND-2022-015</t>
  </si>
  <si>
    <t>Generator 1MW</t>
  </si>
  <si>
    <t>TND-2022-016</t>
  </si>
  <si>
    <t>Piping System Industrial</t>
  </si>
  <si>
    <t>TND-2022-017</t>
  </si>
  <si>
    <t>Flow Meters Set</t>
  </si>
  <si>
    <t>TND-2022-018</t>
  </si>
  <si>
    <t>Transformer 2000kVA</t>
  </si>
  <si>
    <t>TND-2022-019</t>
  </si>
  <si>
    <t>Vacuum Pan Components</t>
  </si>
  <si>
    <t>TND-2022-020</t>
  </si>
  <si>
    <t>Generator Spare Parts Bundle</t>
  </si>
  <si>
    <t>TND-2022-021</t>
  </si>
  <si>
    <t>Electromotor 500HP</t>
  </si>
  <si>
    <t>Q4-2022</t>
  </si>
  <si>
    <t>TND-2022-022</t>
  </si>
  <si>
    <t>SCADA System Upgrade</t>
  </si>
  <si>
    <t>TND-2022-023</t>
  </si>
  <si>
    <t>Conveyor Belt Heavy Duty</t>
  </si>
  <si>
    <t>TND-2022-024</t>
  </si>
  <si>
    <t>Gearbox &amp; Coupling</t>
  </si>
  <si>
    <t>TND-2022-025</t>
  </si>
  <si>
    <t>Inverter VSD 300HP</t>
  </si>
  <si>
    <t>TND-2022-026</t>
  </si>
  <si>
    <t>Centrifugal Pump Set</t>
  </si>
  <si>
    <t>TND-2022-027</t>
  </si>
  <si>
    <t>Centrifugal Spare Parts</t>
  </si>
  <si>
    <t>TND-2023-028</t>
  </si>
  <si>
    <t>Vacuum Pan System</t>
  </si>
  <si>
    <t>Q1-2023</t>
  </si>
  <si>
    <t>TND-2023-029</t>
  </si>
  <si>
    <t>Generator 3MW</t>
  </si>
  <si>
    <t>TND-2023-030</t>
  </si>
  <si>
    <t>Temperature Sensors Bundle</t>
  </si>
  <si>
    <t>TND-2023-031</t>
  </si>
  <si>
    <t>Pump Industrial Heavy Duty</t>
  </si>
  <si>
    <t>TND-2023-032</t>
  </si>
  <si>
    <t>Transformer 1000kVA</t>
  </si>
  <si>
    <t>TND-2023-033</t>
  </si>
  <si>
    <t>Gearbox Industrial</t>
  </si>
  <si>
    <t>TND-2023-034</t>
  </si>
  <si>
    <t>Q2-2023</t>
  </si>
  <si>
    <t>TND-2023-035</t>
  </si>
  <si>
    <t>Electromotor 1000HP</t>
  </si>
  <si>
    <t>TND-2023-036</t>
  </si>
  <si>
    <t>Control Valve Set</t>
  </si>
  <si>
    <t>TND-2023-037</t>
  </si>
  <si>
    <t>Transformer Spare Parts</t>
  </si>
  <si>
    <t>TND-2023-038</t>
  </si>
  <si>
    <t>Conveyor System Upgrade</t>
  </si>
  <si>
    <t>TND-2023-039</t>
  </si>
  <si>
    <t>Pump Centrifugal Industrial</t>
  </si>
  <si>
    <t>TND-2023-040</t>
  </si>
  <si>
    <t>Inverter VSD 500HP</t>
  </si>
  <si>
    <t>TND-2023-041</t>
  </si>
  <si>
    <t>Q3-2023</t>
  </si>
  <si>
    <t>TND-2023-042</t>
  </si>
  <si>
    <t>TND-2023-043</t>
  </si>
  <si>
    <t>Pressure Sensors Bundle</t>
  </si>
  <si>
    <t>TND-2023-044</t>
  </si>
  <si>
    <t>Piping System Replacement</t>
  </si>
  <si>
    <t>TND-2023-045</t>
  </si>
  <si>
    <t>TND-2023-046</t>
  </si>
  <si>
    <t>TND-2023-047</t>
  </si>
  <si>
    <t>VSD Spare Parts Bundle</t>
  </si>
  <si>
    <t>TND-2023-048</t>
  </si>
  <si>
    <t>Q4-2023</t>
  </si>
  <si>
    <t>TND-2023-049</t>
  </si>
  <si>
    <t>SCADA Upgrade</t>
  </si>
  <si>
    <t>TND-2023-050</t>
  </si>
  <si>
    <t>Centrifugal Pump Heavy Duty</t>
  </si>
  <si>
    <t>TND-2023-051</t>
  </si>
  <si>
    <t>Conveyor Belt System</t>
  </si>
  <si>
    <t>TND-2023-052</t>
  </si>
  <si>
    <t>Electromotor 750HP</t>
  </si>
  <si>
    <t>TND-2023-053</t>
  </si>
  <si>
    <t>TND-2024-054</t>
  </si>
  <si>
    <t>Q1-2024</t>
  </si>
  <si>
    <t>TND-2024-055</t>
  </si>
  <si>
    <t>Control System Replacement</t>
  </si>
  <si>
    <t>TND-2024-056</t>
  </si>
  <si>
    <t>TND-2024-057</t>
  </si>
  <si>
    <t>TND-2024-058</t>
  </si>
  <si>
    <t>Inverter VSD 400HP</t>
  </si>
  <si>
    <t>TND-2024-059</t>
  </si>
  <si>
    <t>TND-2024-060</t>
  </si>
  <si>
    <t>Q2-2024</t>
  </si>
  <si>
    <t>TND-2024-061</t>
  </si>
  <si>
    <t>Transformer 2500kVA</t>
  </si>
  <si>
    <t>TND-2024-062</t>
  </si>
  <si>
    <t>Flow Meter Bundle</t>
  </si>
  <si>
    <t>TND-2024-063</t>
  </si>
  <si>
    <t>Generator Maintenance Kit</t>
  </si>
  <si>
    <t>TND-2024-064</t>
  </si>
  <si>
    <t>TND-2024-065</t>
  </si>
  <si>
    <t>TND-2024-066</t>
  </si>
  <si>
    <t>Electromotor 600HP</t>
  </si>
  <si>
    <t>TND-2024-067</t>
  </si>
  <si>
    <t>Q3-2024</t>
  </si>
  <si>
    <t>TND-2024-068</t>
  </si>
  <si>
    <t>Generator 4MW</t>
  </si>
  <si>
    <t>TND-2024-069</t>
  </si>
  <si>
    <t>SCADA System</t>
  </si>
  <si>
    <t>TND-2024-070</t>
  </si>
  <si>
    <t>TND-2024-071</t>
  </si>
  <si>
    <t>Inverter VSD 800HP</t>
  </si>
  <si>
    <t>TND-2024-072</t>
  </si>
  <si>
    <t>TND-2024-073</t>
  </si>
  <si>
    <t>Centrifugal Bearings Bundle</t>
  </si>
  <si>
    <t>Q4-2024</t>
  </si>
  <si>
    <t>TND-2024-074</t>
  </si>
  <si>
    <t>TND-2024-075</t>
  </si>
  <si>
    <t>TND-2024-076</t>
  </si>
  <si>
    <t>TND-2024-077</t>
  </si>
  <si>
    <t>Conveyor Belt Replacement</t>
  </si>
  <si>
    <t>TND-2024-078</t>
  </si>
  <si>
    <t>TND-2024-079</t>
  </si>
  <si>
    <t>Electromotor 800HP</t>
  </si>
  <si>
    <t>TND-2025-080</t>
  </si>
  <si>
    <t>Q1-2025</t>
  </si>
  <si>
    <t>TND-2025-081</t>
  </si>
  <si>
    <t>TND-2025-082</t>
  </si>
  <si>
    <t>TND-2025-083</t>
  </si>
  <si>
    <t>Pump Industrial</t>
  </si>
  <si>
    <t>TND-2025-084</t>
  </si>
  <si>
    <t>TND-2025-085</t>
  </si>
  <si>
    <t>TND-2025-086</t>
  </si>
  <si>
    <t>Q2-2025</t>
  </si>
  <si>
    <t>TND-2025-087</t>
  </si>
  <si>
    <t>Electromotor 1200HP</t>
  </si>
  <si>
    <t>TND-2025-088</t>
  </si>
  <si>
    <t>Control Valve Bundle</t>
  </si>
  <si>
    <t>TND-2025-089</t>
  </si>
  <si>
    <t>Generator Spare Parts</t>
  </si>
  <si>
    <t>TND-2025-090</t>
  </si>
  <si>
    <t>TND-2025-091</t>
  </si>
  <si>
    <t>Centrifugal Pump</t>
  </si>
  <si>
    <t>TND-2025-092</t>
  </si>
  <si>
    <t>Inverter VSD 600HP</t>
  </si>
  <si>
    <t>Q3-2025</t>
  </si>
  <si>
    <t>TND-2025-093</t>
  </si>
  <si>
    <t>TND-2025-094</t>
  </si>
  <si>
    <t>TND-2025-095</t>
  </si>
  <si>
    <t>SCADA Replacement</t>
  </si>
  <si>
    <t>TND-2025-096</t>
  </si>
  <si>
    <t>Piping System</t>
  </si>
  <si>
    <t>TND-2025-097</t>
  </si>
  <si>
    <t>TND-2025-098</t>
  </si>
  <si>
    <t>TND-2025-099</t>
  </si>
  <si>
    <t>Q4-2025</t>
  </si>
  <si>
    <t>TND-2025-100</t>
  </si>
  <si>
    <t>Pump Centrifugal Heavy Duty</t>
  </si>
  <si>
    <t>TND-2025-101</t>
  </si>
  <si>
    <t>TND-2025-102</t>
  </si>
  <si>
    <t>Control System</t>
  </si>
  <si>
    <t>TND-2025-103</t>
  </si>
  <si>
    <t>TND-2025-104</t>
  </si>
  <si>
    <t>Total Tender</t>
  </si>
  <si>
    <t>Total Win</t>
  </si>
  <si>
    <t>Total Losses</t>
  </si>
  <si>
    <t>Win Rate (%)</t>
  </si>
  <si>
    <t>Total Tender Value</t>
  </si>
  <si>
    <t>Won Value</t>
  </si>
  <si>
    <t>Lost  Value</t>
  </si>
  <si>
    <t>Avg Loss Margin (%)</t>
  </si>
  <si>
    <t>Avg Win Margin (%)</t>
  </si>
  <si>
    <t>Avg Win Deal Size</t>
  </si>
  <si>
    <t>Win Value Conversion</t>
  </si>
  <si>
    <t>Grand Total</t>
  </si>
  <si>
    <t>Is_Win</t>
  </si>
  <si>
    <t>Is_Loss</t>
  </si>
  <si>
    <t>Row Labels</t>
  </si>
  <si>
    <t>Column Labels</t>
  </si>
  <si>
    <t>Win Rate</t>
  </si>
  <si>
    <t>1. INDUSTRY FOCUS — SUGAR DOMINANCE</t>
  </si>
  <si>
    <t>Sugar industry adalah segmen terkuat saya — win rate ~75% dengan ~50% dari total tender volume</t>
  </si>
  <si>
    <t>ACTION: Double down marketing budget di sugar belt Indonesia (Lampung, East Java).</t>
  </si>
  <si>
    <t>2. POWER GENERATION = HIDDEN CHAMPION</t>
  </si>
  <si>
    <r>
      <t xml:space="preserve">Win rate tertinggi (75%) meskipun volume hanya 23%. </t>
    </r>
    <r>
      <rPr>
        <b/>
        <sz val="11"/>
        <color theme="1"/>
        <rFont val="Aptos Narrow"/>
        <family val="2"/>
        <scheme val="minor"/>
      </rPr>
      <t>Efisiensi per tender lebih tinggi dari sugar!</t>
    </r>
  </si>
  <si>
    <t>ACTION: Tingkatkan exposure di power generation — ROI per tender lebih bagus.</t>
  </si>
  <si>
    <t>3. PULP &amp; PAPER = PROBLEM AREA</t>
  </si>
  <si>
    <t>Win rate terendah (54%) — hampir flip coin. Ada systemic issue (pricing/specs/competitor).</t>
  </si>
  <si>
    <t>ACTION: Audit losses di pulp &amp; paper — identifikasi root cause untuk improvement.</t>
  </si>
  <si>
    <t>Industry</t>
  </si>
  <si>
    <t>Count of Tender</t>
  </si>
  <si>
    <t>Total Count of Tender</t>
  </si>
  <si>
    <t>Sum of Tender_Value</t>
  </si>
  <si>
    <t>Total Sum of Tender_Value</t>
  </si>
  <si>
    <t>Avg Value (Mio)</t>
  </si>
  <si>
    <t>Total Count</t>
  </si>
  <si>
    <t>Category Rating</t>
  </si>
  <si>
    <t>Category</t>
  </si>
  <si>
    <t>Avg. Value (Mio)</t>
  </si>
  <si>
    <t>Win Rate %</t>
  </si>
  <si>
    <t>4. PROCESS MACHINERY = ⭐ STAR CATEGORY</t>
  </si>
  <si>
    <t>Win Rate ~75% dengan avg value Rp 2 miliar+. High win × high value = sweet spot.</t>
  </si>
  <si>
    <t>Centrifugals, Vacuum Pans dominan di sini — ini equipment yang Anda master.</t>
  </si>
  <si>
    <t>ACTION: Specialize lebih dalam — become "go-to expert" untuk capital equipment sugar mills.</t>
  </si>
  <si>
    <t>5. SPARE PARTS = ⚡ QUICK WIN CATEGORY</t>
  </si>
  <si>
    <t>Win Rate ~90% dengan lead time pendek (~30 hari). Margin tipis tapi volume tinggi.</t>
  </si>
  <si>
    <t>Bearings, seals, maintenance kits = cash flow regular &amp; predictable.</t>
  </si>
  <si>
    <t>ACTION: Stock optimization top 10 spare parts — fast revenue, low risk.</t>
  </si>
  <si>
    <t>6. POWER &amp; UTILITIES = 💰 BIG DEAL (HIGH-RISK HIGH-REWARD)</t>
  </si>
  <si>
    <t>Generator deals besar (Rp 5-9 miliar) tapi competitive. Win rate medium (60-70%).</t>
  </si>
  <si>
    <t>Yang menang = tender dengan technical superiority atau established relationship.</t>
  </si>
  <si>
    <t>7. 🚨 MATERIAL HANDLING = HIDDEN PROBLEM (NEW DISCOVERY!)</t>
  </si>
  <si>
    <t>Win Rate hanya 43.8% — LEBIH BURUK dari Pulp &amp; Paper (54%)!</t>
  </si>
  <si>
    <t>Conveyor, Piping, Pump Industrial — Anda kalah 9 dari 16 tender di kategori ini.</t>
  </si>
  <si>
    <t>ACTION: Deep dive ke 9 loss cases — apakah pricing, specs, atau competitor issue?</t>
  </si>
  <si>
    <t>8. 🏆 SPARE PARTS = 100% WIN RATE (NEVER LOSE!)</t>
  </si>
  <si>
    <t>10 tender, 10 menang, 0 kalah. Lead time pendek (~30 hari).</t>
  </si>
  <si>
    <t>Volume kecil per deal tapi predictable &amp; profitable.</t>
  </si>
  <si>
    <t xml:space="preserve">ACTION: Push business model "spare parts subscription/maintenance contract" </t>
  </si>
  <si>
    <t>Count of Tender_ID</t>
  </si>
  <si>
    <t>% of Total Loss</t>
  </si>
  <si>
    <t>Total value Lost (Mio)</t>
  </si>
  <si>
    <t>Lost Reason</t>
  </si>
  <si>
    <t>Count</t>
  </si>
  <si>
    <t>Total Loss</t>
  </si>
  <si>
    <t>9. MATERIAL HANDLING DEEP DIVE — ROOT CAUSE FOUND</t>
  </si>
  <si>
    <t>Dari 9 losses, ~56% karena Higher Price (5 dari 9).</t>
  </si>
  <si>
    <t>Pattern: kompetitor lokal lebih agresif di pricing untuk equipment ini.</t>
  </si>
  <si>
    <t>ACTION: Re-evaluate margin strategy di Material Handling — fokus value-selling, bukan price war.</t>
  </si>
  <si>
    <t>10. ROOT CAUSE OF ALL LOSSES — PRICING IS #1</t>
  </si>
  <si>
    <t>Implikasi: Pricing strategy review = highest ROI improvement opportunity.</t>
  </si>
  <si>
    <t>ACTION: Audit win/loss pricing per industry → develop competitive pricing matrix.</t>
  </si>
  <si>
    <t>11. PREVENTABLE LOSSES — TENDER SPECS MISMATCH</t>
  </si>
  <si>
    <t>Pre-bid clarification meetings akan eliminate kategori loss ini.</t>
  </si>
  <si>
    <t>ACTION: Implement mandatory technical clarification meeting sebelum bid submission.</t>
  </si>
  <si>
    <t>Conveyor System &amp; Piping System Industrial = equipment paling sering kalah.</t>
  </si>
  <si>
    <t>untuk client existing recurring revenue stream guaranteed!</t>
  </si>
  <si>
    <t>ACTION: Selektif  pursue power &amp; utilities saat ada strong relationship advantage.</t>
  </si>
  <si>
    <t>Reason</t>
  </si>
  <si>
    <t>Tender Value</t>
  </si>
  <si>
    <t>78% kekalahan = Higher Price. Total Rp ~50 miliar lost karena price-driven.</t>
  </si>
  <si>
    <t>19% kekalahan = Lost to Tender Specs (6 cases) — INI BISA DICEGAH!</t>
  </si>
  <si>
    <t>Quarter</t>
  </si>
  <si>
    <t>Quarterly Trend Analysis</t>
  </si>
  <si>
    <t xml:space="preserve">METRIC </t>
  </si>
  <si>
    <t>VALUE</t>
  </si>
  <si>
    <t>Avg Win Rate 2022</t>
  </si>
  <si>
    <t>Avg Win Rate 2025</t>
  </si>
  <si>
    <t>Trend Change</t>
  </si>
  <si>
    <t>Best Quarter</t>
  </si>
  <si>
    <t>Best Win Rate</t>
  </si>
  <si>
    <t>Worst Quarter</t>
  </si>
  <si>
    <t>Worst Win Rate</t>
  </si>
  <si>
    <t>Total Tender 2022</t>
  </si>
  <si>
    <t>Total Tender 2025</t>
  </si>
  <si>
    <t>Change</t>
  </si>
  <si>
    <t>VOLUME :</t>
  </si>
  <si>
    <t>SEASONALITY :</t>
  </si>
  <si>
    <t>WIN RATE TREND :</t>
  </si>
  <si>
    <t>Verditct</t>
  </si>
  <si>
    <t>Pattern</t>
  </si>
  <si>
    <t>Q3 - 2023 Peak</t>
  </si>
  <si>
    <t>Q3 Pattren Check</t>
  </si>
  <si>
    <t>Q3-2022 WR</t>
  </si>
  <si>
    <t>Q3-2023 WR</t>
  </si>
  <si>
    <t>Q3-2024 WR</t>
  </si>
  <si>
    <t>Q3-2025 WR</t>
  </si>
  <si>
    <t>Pattern: Skill saya MENINGKAT seiring waktu — 4+ tahun pengalaman terbukti memberikan competitive edge di tender selection &amp; proposal quality.</t>
  </si>
  <si>
    <t>ACTION: Pertahankan momentum dokumentasikan "winning patterns" dari recent successes untuk replikasi di tender Q1-Q2 2026.</t>
  </si>
  <si>
    <t>12. PERFORMANCE TREND — STRONG IMPROVING 📈</t>
  </si>
  <si>
    <t>13. PEAK PERFORMANCE — Q3-2023 = BENCHMARK YEAR 🏆</t>
  </si>
  <si>
    <t>Pattern: Q3-2023 adalah peak point — investigate APA yang berbeda di periode ini (tender type, klien, pricing strategy?) untuk replikasi.</t>
  </si>
  <si>
    <t>ACTION: Reverse-engineer Q3-2023 wins — identify common factor (industry mix? pricing? client size?) yang membuat 85.7% achievable.</t>
  </si>
  <si>
    <t>14. VOLUME TREND — STRATEGIC SELECTIVITY 🎯</t>
  </si>
  <si>
    <t>Total tender 2022 = 27 → 2025 = 25, perubahan -2 tender (slight decrease).</t>
  </si>
  <si>
    <t>TAPI win rate naik dari 63.1% → 76.2% (+13.1%). Saya BUKAN spray-and-pray — saya selektif dengan tender.</t>
  </si>
  <si>
    <t>Implikasi: Quality over quantity mindset terbukti efektif — fokus pada tender berpotensi tinggi menghasilkan ROI lebih baik dari ikut semua tender.</t>
  </si>
  <si>
    <t>ACTION: Pertahankan strategi selektivitas — kembangkan "tender qualification framework" untuk filter sebelum invest waktu.</t>
  </si>
  <si>
    <t>Averang Q3</t>
  </si>
  <si>
    <t>=== REGIONAL ANALYSIS  ===</t>
  </si>
  <si>
    <t>Region</t>
  </si>
  <si>
    <t>15. REGIONAL SPECIALIZATION — INDUSTRY-GEOGRAPHIC MAP 🗺️</t>
  </si>
  <si>
    <t>Pattern: 6 dari 8 region punya 100% single-industry concentration. Lampung/East Java/Central Java = pure Sugar, Riau/East Kalimantan = pure Pulp &amp; Paper, Jakarta/West Java = pure Power Gen.</t>
  </si>
  <si>
    <t>Sugar Belt (54%): Lampung-17, East Java-14, Central Java-14, South Sumatra-11. Power Belt (23%): Jakarta-9, West Java-8, South Sumatra-7. Pulp Belt (23%): Riau-12, East Kalimantan-12.</t>
  </si>
  <si>
    <t>Implikasi: Geographic footprint kami mengikuti REAL industrial ecosystem Indonesia — HTI Sumatra/Kaltim untuk pulp, sentra tebu Jawa-Lampung, PLN Jamali untuk power. Ini bukan kebetulan.</t>
  </si>
  <si>
    <t>ACTION: Stop "spray expansion" — pilih ekspansi berdasarkan industry ekosistem, bukan region. Tiap region baru = industry baru otomatis.</t>
  </si>
  <si>
    <t>16. HIDDEN WINNER REGIONS — VOLUME ≠ WIN RATE 🏆</t>
  </si>
  <si>
    <t>West Java (8 tender, 88% WR) &amp; East Java (14 tender, 86% WR) = top 2 performers. Lampung (17 tender = largest volume) hanya 65% WR — 21 percentage points lebih rendah dari East Java padahal sama-sama Sugar pure.</t>
  </si>
  <si>
    <t>Pattern: Single-industry focus + volume terkontrol = win rate tertinggi. Volume tinggi tanpa fokus = diminishing returns.</t>
  </si>
  <si>
    <t>Hipotesis penyebab: account intimacy lebih dalam, lower competition, better lead qualification di region kecil.</t>
  </si>
  <si>
    <t>ACTION: Reverse-engineer East Java's playbook (Sugar pure, 86% WR) — replicate ke Lampung &amp; Central Java yang industry sama tapi underperform.</t>
  </si>
  <si>
    <t>17. RIAU OUTLIER — UNDERPERFORMER ROOT CAUSE 🔍</t>
  </si>
  <si>
    <t>Riau = single underperformer (50% WR, satu-satunya region &lt;58%). Padahal Riau &amp; East Kalimantan SAMA pure Pulp &amp; Paper, SAMA volume 12 tender, tapi Kaltim 58% vs Riau 50%.</t>
  </si>
  <si>
    <t>Cross-validation Insight #3 (Pulp &amp; Paper 54% WR) + Insight #10 (Pricing = 78% loss reason): masalah Riau tidak merata dan punya specific root cause.</t>
  </si>
  <si>
    <t>Hipotesis: kompetisi lebih intens di cluster industri Pekanbaru, customer base lebih price-sensitive, distributor lokal lebih agresif.</t>
  </si>
  <si>
    <t>ACTION: Riau bukan masalah teknis tapi masalah PRICING STRATEGY di market commodity. Renegotiate principal pricing untuk Riau + selective bidding di tender yang clearly price war.</t>
  </si>
  <si>
    <t>🎯 KEY INSIGHTS — TENDER WIN/LOSS ANALYSIS 2022-2025 (17 STRATEGIC FINDINGS)</t>
  </si>
  <si>
    <t>TENDER ANALYTIC DASHBOARD</t>
  </si>
  <si>
    <r>
      <rPr>
        <b/>
        <sz val="36"/>
        <color theme="0"/>
        <rFont val="Aptos Narrow"/>
        <family val="2"/>
        <scheme val="minor"/>
      </rPr>
      <t>104</t>
    </r>
    <r>
      <rPr>
        <b/>
        <sz val="20"/>
        <color theme="0"/>
        <rFont val="Aptos Narrow"/>
        <family val="2"/>
        <scheme val="minor"/>
      </rPr>
      <t xml:space="preserve">
</t>
    </r>
    <r>
      <rPr>
        <b/>
        <sz val="10"/>
        <color theme="0"/>
        <rFont val="Aptos Narrow"/>
        <family val="2"/>
        <scheme val="minor"/>
      </rPr>
      <t>TOTAL TENDER</t>
    </r>
  </si>
  <si>
    <r>
      <rPr>
        <b/>
        <sz val="36"/>
        <color theme="0"/>
        <rFont val="Aptos Narrow"/>
        <family val="2"/>
        <scheme val="minor"/>
      </rPr>
      <t>69%</t>
    </r>
    <r>
      <rPr>
        <b/>
        <sz val="11"/>
        <color theme="0"/>
        <rFont val="Aptos Narrow"/>
        <family val="2"/>
        <scheme val="minor"/>
      </rPr>
      <t xml:space="preserve">
</t>
    </r>
    <r>
      <rPr>
        <b/>
        <sz val="10"/>
        <color theme="0"/>
        <rFont val="Aptos Narrow"/>
        <family val="2"/>
        <scheme val="minor"/>
      </rPr>
      <t>WIN RATE</t>
    </r>
  </si>
  <si>
    <r>
      <rPr>
        <b/>
        <sz val="36"/>
        <color theme="0"/>
        <rFont val="Aptos Narrow"/>
        <family val="2"/>
        <scheme val="minor"/>
      </rPr>
      <t>Rp. 167,6 B</t>
    </r>
    <r>
      <rPr>
        <b/>
        <sz val="11"/>
        <color theme="0"/>
        <rFont val="Aptos Narrow"/>
        <family val="2"/>
        <scheme val="minor"/>
      </rPr>
      <t xml:space="preserve">
</t>
    </r>
    <r>
      <rPr>
        <b/>
        <sz val="10"/>
        <color theme="0"/>
        <rFont val="Aptos Narrow"/>
        <family val="2"/>
        <scheme val="minor"/>
      </rPr>
      <t>TOTAL VALUE</t>
    </r>
  </si>
  <si>
    <r>
      <rPr>
        <b/>
        <sz val="36"/>
        <color theme="0"/>
        <rFont val="Aptos Narrow"/>
        <family val="2"/>
        <scheme val="minor"/>
      </rPr>
      <t>+13.1%</t>
    </r>
    <r>
      <rPr>
        <b/>
        <sz val="11"/>
        <color theme="0"/>
        <rFont val="Aptos Narrow"/>
        <family val="2"/>
        <scheme val="minor"/>
      </rPr>
      <t xml:space="preserve">
</t>
    </r>
    <r>
      <rPr>
        <b/>
        <sz val="10"/>
        <color theme="0"/>
        <rFont val="Aptos Narrow"/>
        <family val="2"/>
        <scheme val="minor"/>
      </rPr>
      <t>4-YEAR TREND</t>
    </r>
  </si>
  <si>
    <r>
      <rPr>
        <b/>
        <sz val="36"/>
        <color theme="0"/>
        <rFont val="Aptos Narrow"/>
        <family val="2"/>
        <scheme val="minor"/>
      </rPr>
      <t>17</t>
    </r>
    <r>
      <rPr>
        <b/>
        <sz val="11"/>
        <color theme="0"/>
        <rFont val="Aptos Narrow"/>
        <family val="2"/>
        <scheme val="minor"/>
      </rPr>
      <t xml:space="preserve">
</t>
    </r>
    <r>
      <rPr>
        <b/>
        <sz val="10"/>
        <color theme="0"/>
        <rFont val="Aptos Narrow"/>
        <family val="2"/>
        <scheme val="minor"/>
      </rPr>
      <t>STRATEGIC INSIGHTS</t>
    </r>
  </si>
  <si>
    <t>B2B Industrial Equipment | 2022 - 2025 | 104 Records | 17 Strategic Insights</t>
  </si>
  <si>
    <t>💡 KEY STRATEGIC INSIGHTS</t>
  </si>
  <si>
    <r>
      <rPr>
        <b/>
        <sz val="11"/>
        <color rgb="FF1E3A5F"/>
        <rFont val="Calibri"/>
        <family val="2"/>
      </rPr>
      <t>1. SUGAR INDUSTRY DOMINANCE</t>
    </r>
    <r>
      <rPr>
        <sz val="11"/>
        <color theme="1"/>
        <rFont val="Calibri"/>
        <family val="2"/>
      </rPr>
      <t xml:space="preserve">
   </t>
    </r>
    <r>
      <rPr>
        <sz val="10"/>
        <color theme="1"/>
        <rFont val="Calibri"/>
        <family val="2"/>
      </rPr>
      <t>73% win rate, 54% volume — strategic specialization opportunity</t>
    </r>
  </si>
  <si>
    <r>
      <rPr>
        <b/>
        <sz val="11"/>
        <color rgb="FF1E3A5F"/>
        <rFont val="Calibri"/>
        <family val="2"/>
      </rPr>
      <t>2. MATERIAL HANDLING HIDDEN PROBLEM</t>
    </r>
    <r>
      <rPr>
        <sz val="11"/>
        <color theme="1"/>
        <rFont val="Calibri"/>
        <family val="2"/>
      </rPr>
      <t xml:space="preserve">
  </t>
    </r>
    <r>
      <rPr>
        <sz val="10"/>
        <color theme="1"/>
        <rFont val="Calibri"/>
        <family val="2"/>
      </rPr>
      <t xml:space="preserve"> 43.8% win rate, Rp 10.6B lost — needs pricing review</t>
    </r>
  </si>
  <si>
    <r>
      <rPr>
        <b/>
        <sz val="11"/>
        <color rgb="FF1E3A5F"/>
        <rFont val="Calibri"/>
        <family val="2"/>
      </rPr>
      <t>3. PRICING IS THE #1 BATTLEGROUND</t>
    </r>
    <r>
      <rPr>
        <sz val="11"/>
        <color theme="1"/>
        <rFont val="Calibri"/>
        <family val="2"/>
      </rPr>
      <t xml:space="preserve">
   </t>
    </r>
    <r>
      <rPr>
        <sz val="10"/>
        <color theme="1"/>
        <rFont val="Calibri"/>
        <family val="2"/>
      </rPr>
      <t>78% of all losses driven by price competitiveness — Rp 49.8B opportunity gap</t>
    </r>
  </si>
  <si>
    <r>
      <rPr>
        <b/>
        <sz val="11"/>
        <color rgb="FF1E3A5F"/>
        <rFont val="Calibri"/>
        <family val="2"/>
      </rPr>
      <t>4. WEST JAVA: THE HIDDEN WINNER</t>
    </r>
    <r>
      <rPr>
        <sz val="11"/>
        <color theme="1"/>
        <rFont val="Calibri"/>
        <family val="2"/>
      </rPr>
      <t xml:space="preserve">
   </t>
    </r>
    <r>
      <rPr>
        <sz val="10"/>
        <color theme="1"/>
        <rFont val="Calibri"/>
        <family val="2"/>
      </rPr>
      <t>88% win rate despite smallest volume (8 tenders) — replicate the focused-account playbook</t>
    </r>
  </si>
  <si>
    <r>
      <rPr>
        <b/>
        <sz val="11"/>
        <color rgb="FF1E3A5F"/>
        <rFont val="Calibri"/>
        <family val="2"/>
      </rPr>
      <t>5. PERFORMANCE TREND: +13.1% IMPROVEMENT (2022→2025)</t>
    </r>
    <r>
      <rPr>
        <sz val="11"/>
        <color theme="1"/>
        <rFont val="Calibri"/>
        <family val="2"/>
      </rPr>
      <t xml:space="preserve">
   </t>
    </r>
    <r>
      <rPr>
        <sz val="10"/>
        <color theme="1"/>
        <rFont val="Calibri"/>
        <family val="2"/>
      </rPr>
      <t>Strategic selectivity validated — quality over quantity drives sustainable growth</t>
    </r>
  </si>
  <si>
    <t>Built by Abdurrahman Rahyang | rahyangabdurrahman@gmail.com | linkedin.com/in/abdurrahman-rahyang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</si>
</sst>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64" formatCode="[$-F800]dddd\,\ mmmm\ dd\,\ yyyy"/>
    <numFmt numFmtId="165" formatCode="_-[$Rp-3809]* #,##0_-;\-[$Rp-3809]* #,##0_-;_-[$Rp-3809]* &quot;-&quot;??_-;_-@_-"/>
    <numFmt numFmtId="166" formatCode="0.0"/>
    <numFmt numFmtId="167" formatCode="_-[$Rp-3809]* #,##0.00_-;\-[$Rp-3809]* #,##0.00_-;_-[$Rp-3809]* &quot;-&quot;??_-;_-@_-"/>
    <numFmt numFmtId="168" formatCode="_-* #,##0.00_-;\-* #,##0.00_-;_-* &quot;-&quot;_-;_-@_-"/>
    <numFmt numFmtId="169" formatCode="0.0%"/>
    <numFmt numFmtId="170" formatCode="_-* #,##0.000_-;\-* #,##0.000_-;_-* &quot;-&quot;_-;_-@_-"/>
  </numFmts>
  <fonts count="2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rgb="FF1E3A5F"/>
      <name val="Aptos Narrow"/>
      <family val="2"/>
      <scheme val="minor"/>
    </font>
    <font>
      <b/>
      <sz val="24"/>
      <color rgb="FF1E3A5F"/>
      <name val="Montserrat"/>
    </font>
    <font>
      <b/>
      <sz val="20"/>
      <color theme="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36"/>
      <color theme="0"/>
      <name val="Aptos Narrow"/>
      <family val="2"/>
      <scheme val="minor"/>
    </font>
    <font>
      <b/>
      <i/>
      <sz val="12"/>
      <color rgb="FF555555"/>
      <name val="Aptos Narrow"/>
      <family val="2"/>
      <scheme val="minor"/>
    </font>
    <font>
      <sz val="16"/>
      <color theme="0"/>
      <name val="Montserrat Bold"/>
    </font>
    <font>
      <sz val="11"/>
      <color theme="1"/>
      <name val="Calibri"/>
      <family val="2"/>
    </font>
    <font>
      <b/>
      <sz val="11"/>
      <color rgb="FF1E3A5F"/>
      <name val="Calibri"/>
      <family val="2"/>
    </font>
    <font>
      <sz val="10"/>
      <color theme="1"/>
      <name val="Calibri"/>
      <family val="2"/>
    </font>
    <font>
      <b/>
      <sz val="9"/>
      <color theme="0"/>
      <name val="Aptos Narrow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4A017"/>
        <bgColor indexed="64"/>
      </patternFill>
    </fill>
    <fill>
      <patternFill patternType="solid">
        <fgColor rgb="FF1E3A5F"/>
        <bgColor indexed="64"/>
      </patternFill>
    </fill>
    <fill>
      <patternFill patternType="solid">
        <fgColor rgb="FFC0392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74999237037263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theme="2" tint="-0.249977111117893"/>
      </bottom>
      <diagonal/>
    </border>
    <border>
      <left/>
      <right/>
      <top style="medium">
        <color theme="2" tint="-0.249977111117893"/>
      </top>
      <bottom style="medium">
        <color theme="2" tint="-0.249977111117893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6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0" applyNumberFormat="1"/>
    <xf numFmtId="0" fontId="0" fillId="0" borderId="0" xfId="0" applyAlignment="1">
      <alignment horizontal="center"/>
    </xf>
    <xf numFmtId="9" fontId="0" fillId="0" borderId="0" xfId="43" applyFont="1"/>
    <xf numFmtId="166" fontId="0" fillId="0" borderId="0" xfId="42" applyNumberFormat="1" applyFont="1" applyAlignment="1">
      <alignment horizontal="center"/>
    </xf>
    <xf numFmtId="165" fontId="0" fillId="0" borderId="0" xfId="42" applyNumberFormat="1" applyFont="1"/>
    <xf numFmtId="10" fontId="0" fillId="0" borderId="0" xfId="43" applyNumberFormat="1" applyFont="1"/>
    <xf numFmtId="0" fontId="0" fillId="0" borderId="0" xfId="0" applyAlignment="1">
      <alignment horizontal="left"/>
    </xf>
    <xf numFmtId="0" fontId="0" fillId="0" borderId="0" xfId="0" pivotButton="1"/>
    <xf numFmtId="0" fontId="16" fillId="0" borderId="0" xfId="0" applyFont="1"/>
    <xf numFmtId="9" fontId="0" fillId="0" borderId="0" xfId="0" applyNumberFormat="1"/>
    <xf numFmtId="0" fontId="0" fillId="0" borderId="0" xfId="0" applyAlignment="1">
      <alignment vertical="center"/>
    </xf>
    <xf numFmtId="0" fontId="16" fillId="33" borderId="0" xfId="0" applyFont="1" applyFill="1"/>
    <xf numFmtId="0" fontId="16" fillId="34" borderId="0" xfId="0" applyFont="1" applyFill="1"/>
    <xf numFmtId="0" fontId="16" fillId="35" borderId="0" xfId="0" applyFont="1" applyFill="1"/>
    <xf numFmtId="0" fontId="16" fillId="36" borderId="0" xfId="0" applyFont="1" applyFill="1"/>
    <xf numFmtId="0" fontId="16" fillId="0" borderId="10" xfId="0" applyFont="1" applyBorder="1"/>
    <xf numFmtId="0" fontId="0" fillId="0" borderId="10" xfId="0" applyBorder="1"/>
    <xf numFmtId="9" fontId="0" fillId="0" borderId="10" xfId="0" applyNumberFormat="1" applyBorder="1"/>
    <xf numFmtId="167" fontId="16" fillId="0" borderId="10" xfId="0" applyNumberFormat="1" applyFont="1" applyBorder="1"/>
    <xf numFmtId="169" fontId="0" fillId="0" borderId="10" xfId="0" applyNumberFormat="1" applyBorder="1" applyAlignment="1">
      <alignment horizontal="center"/>
    </xf>
    <xf numFmtId="168" fontId="0" fillId="0" borderId="10" xfId="42" applyNumberFormat="1" applyFont="1" applyBorder="1" applyAlignment="1">
      <alignment horizontal="center"/>
    </xf>
    <xf numFmtId="0" fontId="0" fillId="0" borderId="10" xfId="0" applyBorder="1" applyAlignment="1">
      <alignment horizontal="center"/>
    </xf>
    <xf numFmtId="168" fontId="0" fillId="0" borderId="10" xfId="0" applyNumberFormat="1" applyBorder="1" applyAlignment="1">
      <alignment horizontal="center"/>
    </xf>
    <xf numFmtId="0" fontId="16" fillId="37" borderId="0" xfId="0" applyFont="1" applyFill="1"/>
    <xf numFmtId="0" fontId="16" fillId="38" borderId="0" xfId="0" applyFont="1" applyFill="1"/>
    <xf numFmtId="0" fontId="16" fillId="39" borderId="0" xfId="0" applyFont="1" applyFill="1"/>
    <xf numFmtId="0" fontId="16" fillId="40" borderId="0" xfId="0" applyFont="1" applyFill="1"/>
    <xf numFmtId="0" fontId="16" fillId="41" borderId="0" xfId="0" applyFont="1" applyFill="1"/>
    <xf numFmtId="9" fontId="0" fillId="0" borderId="0" xfId="0" applyNumberFormat="1" applyAlignment="1">
      <alignment horizontal="center"/>
    </xf>
    <xf numFmtId="41" fontId="0" fillId="0" borderId="0" xfId="42" applyFont="1" applyAlignment="1">
      <alignment horizontal="center"/>
    </xf>
    <xf numFmtId="0" fontId="0" fillId="0" borderId="0" xfId="0" applyAlignment="1">
      <alignment horizontal="left" indent="1"/>
    </xf>
    <xf numFmtId="0" fontId="0" fillId="0" borderId="0" xfId="0" applyAlignment="1">
      <alignment vertical="center" wrapText="1"/>
    </xf>
    <xf numFmtId="0" fontId="0" fillId="0" borderId="0" xfId="0" pivotButton="1" applyAlignment="1">
      <alignment horizontal="center"/>
    </xf>
    <xf numFmtId="0" fontId="16" fillId="42" borderId="0" xfId="0" applyFont="1" applyFill="1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left"/>
    </xf>
    <xf numFmtId="0" fontId="16" fillId="43" borderId="0" xfId="0" applyFont="1" applyFill="1"/>
    <xf numFmtId="169" fontId="0" fillId="0" borderId="0" xfId="42" applyNumberFormat="1" applyFont="1" applyAlignment="1">
      <alignment horizontal="center"/>
    </xf>
    <xf numFmtId="169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0" fontId="16" fillId="44" borderId="0" xfId="0" applyFont="1" applyFill="1"/>
    <xf numFmtId="1" fontId="0" fillId="0" borderId="0" xfId="0" applyNumberFormat="1" applyAlignment="1">
      <alignment horizontal="center"/>
    </xf>
    <xf numFmtId="0" fontId="18" fillId="0" borderId="0" xfId="0" quotePrefix="1" applyFont="1"/>
    <xf numFmtId="170" fontId="0" fillId="0" borderId="0" xfId="42" applyNumberFormat="1" applyFont="1"/>
    <xf numFmtId="0" fontId="0" fillId="0" borderId="0" xfId="0" applyAlignment="1">
      <alignment vertical="top" wrapText="1"/>
    </xf>
    <xf numFmtId="0" fontId="0" fillId="44" borderId="0" xfId="0" applyFill="1"/>
    <xf numFmtId="0" fontId="19" fillId="45" borderId="0" xfId="0" applyFont="1" applyFill="1" applyAlignment="1">
      <alignment horizontal="center" vertical="center"/>
    </xf>
    <xf numFmtId="0" fontId="0" fillId="44" borderId="11" xfId="0" applyFill="1" applyBorder="1" applyAlignment="1">
      <alignment horizontal="center"/>
    </xf>
    <xf numFmtId="0" fontId="20" fillId="46" borderId="0" xfId="0" applyFont="1" applyFill="1" applyBorder="1" applyAlignment="1">
      <alignment horizontal="center" vertical="center"/>
    </xf>
    <xf numFmtId="0" fontId="20" fillId="46" borderId="0" xfId="0" applyFont="1" applyFill="1" applyBorder="1" applyAlignment="1">
      <alignment horizontal="center" vertical="center" wrapText="1"/>
    </xf>
    <xf numFmtId="0" fontId="13" fillId="45" borderId="0" xfId="0" applyFont="1" applyFill="1" applyAlignment="1">
      <alignment horizontal="center" vertical="center" wrapText="1"/>
    </xf>
    <xf numFmtId="0" fontId="13" fillId="45" borderId="0" xfId="0" applyFont="1" applyFill="1" applyAlignment="1">
      <alignment horizontal="center" vertical="center"/>
    </xf>
    <xf numFmtId="0" fontId="13" fillId="46" borderId="0" xfId="0" applyFont="1" applyFill="1" applyAlignment="1">
      <alignment horizontal="center" vertical="center" wrapText="1"/>
    </xf>
    <xf numFmtId="0" fontId="13" fillId="46" borderId="0" xfId="0" applyFont="1" applyFill="1" applyAlignment="1">
      <alignment horizontal="center" vertical="center"/>
    </xf>
    <xf numFmtId="0" fontId="13" fillId="45" borderId="0" xfId="0" quotePrefix="1" applyFont="1" applyFill="1" applyAlignment="1">
      <alignment horizontal="center" vertical="center" wrapText="1"/>
    </xf>
    <xf numFmtId="0" fontId="13" fillId="47" borderId="0" xfId="0" quotePrefix="1" applyFont="1" applyFill="1" applyAlignment="1">
      <alignment horizontal="center" vertical="center" wrapText="1"/>
    </xf>
    <xf numFmtId="0" fontId="13" fillId="47" borderId="0" xfId="0" applyFont="1" applyFill="1" applyAlignment="1">
      <alignment horizontal="center" vertical="center"/>
    </xf>
    <xf numFmtId="0" fontId="23" fillId="44" borderId="0" xfId="0" applyFont="1" applyFill="1" applyAlignment="1">
      <alignment horizontal="center"/>
    </xf>
    <xf numFmtId="0" fontId="24" fillId="46" borderId="0" xfId="0" applyFont="1" applyFill="1" applyAlignment="1">
      <alignment horizontal="center" vertical="center"/>
    </xf>
    <xf numFmtId="0" fontId="25" fillId="48" borderId="12" xfId="0" applyFont="1" applyFill="1" applyBorder="1" applyAlignment="1">
      <alignment horizontal="left" vertical="top" wrapText="1"/>
    </xf>
    <xf numFmtId="0" fontId="25" fillId="49" borderId="13" xfId="0" applyFont="1" applyFill="1" applyBorder="1" applyAlignment="1">
      <alignment horizontal="left" vertical="center" wrapText="1"/>
    </xf>
    <xf numFmtId="0" fontId="25" fillId="48" borderId="13" xfId="0" applyFont="1" applyFill="1" applyBorder="1" applyAlignment="1">
      <alignment horizontal="left" vertical="center" wrapText="1"/>
    </xf>
    <xf numFmtId="0" fontId="25" fillId="48" borderId="13" xfId="0" applyFont="1" applyFill="1" applyBorder="1" applyAlignment="1">
      <alignment horizontal="left" vertical="top" wrapText="1"/>
    </xf>
    <xf numFmtId="0" fontId="28" fillId="50" borderId="0" xfId="0" applyFont="1" applyFill="1" applyAlignment="1">
      <alignment horizontal="center" vertic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[0]" xfId="42" builtinId="6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2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6" formatCode="0.0"/>
      <alignment horizontal="center" vertical="bottom" textRotation="0" wrapText="0" indent="0" justifyLastLine="0" shrinkToFit="0" readingOrder="0"/>
    </dxf>
    <dxf>
      <numFmt numFmtId="165" formatCode="_-[$Rp-3809]* #,##0_-;\-[$Rp-3809]* #,##0_-;_-[$Rp-3809]* &quot;-&quot;??_-;_-@_-"/>
    </dxf>
    <dxf>
      <numFmt numFmtId="165" formatCode="_-[$Rp-3809]* #,##0_-;\-[$Rp-3809]* #,##0_-;_-[$Rp-3809]* &quot;-&quot;??_-;_-@_-"/>
    </dxf>
    <dxf>
      <alignment horizontal="center" vertical="bottom" textRotation="0" wrapText="0" indent="0" justifyLastLine="0" shrinkToFit="0" readingOrder="0"/>
    </dxf>
    <dxf>
      <numFmt numFmtId="164" formatCode="[$-F800]dddd\,\ mmmm\ dd\,\ yyyy"/>
      <alignment horizontal="center" vertical="bottom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colors>
    <mruColors>
      <color rgb="FFF8F8F8"/>
      <color rgb="FFFBF8F8"/>
      <color rgb="FFD0D0D0"/>
      <color rgb="FF1E3A5F"/>
      <color rgb="FF555555"/>
      <color rgb="FFD4A017"/>
      <color rgb="FFC0392B"/>
      <color rgb="FFE74C3C"/>
      <color rgb="FFE67E2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[Tender_Analysis_Master.xlsx]Pivot_Analyses!PivotTable2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b="1"/>
              <a:t>Total Tender by Industry </a:t>
            </a:r>
          </a:p>
          <a:p>
            <a:pPr>
              <a:defRPr b="1"/>
            </a:pPr>
            <a:r>
              <a:rPr lang="en-ID" b="1"/>
              <a:t>2022 - 2025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D4A01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D4A017"/>
          </a:solidFill>
          <a:ln>
            <a:noFill/>
          </a:ln>
          <a:effectLst/>
        </c:spPr>
      </c:pivotFmt>
      <c:pivotFmt>
        <c:idx val="3"/>
        <c:spPr>
          <a:solidFill>
            <a:srgbClr val="1E3A5F"/>
          </a:solidFill>
          <a:ln>
            <a:noFill/>
          </a:ln>
          <a:effectLst/>
        </c:spPr>
      </c:pivotFmt>
      <c:pivotFmt>
        <c:idx val="4"/>
        <c:spPr>
          <a:solidFill>
            <a:srgbClr val="1E3A5F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Pivot_Analyses!$B$1:$B$2</c:f>
              <c:strCache>
                <c:ptCount val="1"/>
                <c:pt idx="0">
                  <c:v>Loss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22F1-44BE-82F1-82C1CFD718BC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22F1-44BE-82F1-82C1CFD718B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Pivot_Analyses!$A$3:$A$6</c:f>
              <c:strCache>
                <c:ptCount val="3"/>
                <c:pt idx="0">
                  <c:v>Power Generation</c:v>
                </c:pt>
                <c:pt idx="1">
                  <c:v>Pulp &amp; Paper</c:v>
                </c:pt>
                <c:pt idx="2">
                  <c:v>Sugar</c:v>
                </c:pt>
              </c:strCache>
            </c:strRef>
          </c:cat>
          <c:val>
            <c:numRef>
              <c:f>Pivot_Analyses!$B$3:$B$6</c:f>
              <c:numCache>
                <c:formatCode>General</c:formatCode>
                <c:ptCount val="3"/>
                <c:pt idx="0">
                  <c:v>6</c:v>
                </c:pt>
                <c:pt idx="1">
                  <c:v>11</c:v>
                </c:pt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B8-4F6B-B51C-B8C1E4154D27}"/>
            </c:ext>
          </c:extLst>
        </c:ser>
        <c:ser>
          <c:idx val="1"/>
          <c:order val="1"/>
          <c:tx>
            <c:strRef>
              <c:f>Pivot_Analyses!$C$1:$C$2</c:f>
              <c:strCache>
                <c:ptCount val="1"/>
                <c:pt idx="0">
                  <c:v>Win</c:v>
                </c:pt>
              </c:strCache>
            </c:strRef>
          </c:tx>
          <c:spPr>
            <a:solidFill>
              <a:srgbClr val="D4A017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1E3A5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EAE-45C4-84AC-705B9634C4C7}"/>
              </c:ext>
            </c:extLst>
          </c:dPt>
          <c:dPt>
            <c:idx val="1"/>
            <c:invertIfNegative val="0"/>
            <c:bubble3D val="0"/>
            <c:spPr>
              <a:solidFill>
                <a:srgbClr val="1E3A5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EAE-45C4-84AC-705B9634C4C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Pivot_Analyses!$A$3:$A$6</c:f>
              <c:strCache>
                <c:ptCount val="3"/>
                <c:pt idx="0">
                  <c:v>Power Generation</c:v>
                </c:pt>
                <c:pt idx="1">
                  <c:v>Pulp &amp; Paper</c:v>
                </c:pt>
                <c:pt idx="2">
                  <c:v>Sugar</c:v>
                </c:pt>
              </c:strCache>
            </c:strRef>
          </c:cat>
          <c:val>
            <c:numRef>
              <c:f>Pivot_Analyses!$C$3:$C$6</c:f>
              <c:numCache>
                <c:formatCode>General</c:formatCode>
                <c:ptCount val="3"/>
                <c:pt idx="0">
                  <c:v>18</c:v>
                </c:pt>
                <c:pt idx="1">
                  <c:v>13</c:v>
                </c:pt>
                <c:pt idx="2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2F1-44BE-82F1-82C1CFD718B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9049280"/>
        <c:axId val="59049760"/>
      </c:barChart>
      <c:catAx>
        <c:axId val="59049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49760"/>
        <c:crosses val="autoZero"/>
        <c:auto val="1"/>
        <c:lblAlgn val="ctr"/>
        <c:lblOffset val="100"/>
        <c:noMultiLvlLbl val="0"/>
      </c:catAx>
      <c:valAx>
        <c:axId val="5904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49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1" i="0" u="none" strike="noStrike" baseline="0"/>
              <a:t>Win Rate by Industry 2022-2025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Pivot_Analyses!$H$2</c:f>
              <c:strCache>
                <c:ptCount val="1"/>
                <c:pt idx="0">
                  <c:v>Win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1E3A5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D4E-4D00-9D23-AAB040874353}"/>
              </c:ext>
            </c:extLst>
          </c:dPt>
          <c:dPt>
            <c:idx val="1"/>
            <c:invertIfNegative val="0"/>
            <c:bubble3D val="0"/>
            <c:spPr>
              <a:solidFill>
                <a:srgbClr val="D4A01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D4E-4D00-9D23-AAB040874353}"/>
              </c:ext>
            </c:extLst>
          </c:dPt>
          <c:dPt>
            <c:idx val="2"/>
            <c:invertIfNegative val="0"/>
            <c:bubble3D val="0"/>
            <c:spPr>
              <a:solidFill>
                <a:srgbClr val="1E3A5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D4E-4D00-9D23-AAB04087435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Pivot_Analyses!$G$3:$G$5</c:f>
              <c:strCache>
                <c:ptCount val="3"/>
                <c:pt idx="0">
                  <c:v>Pulp &amp; Paper</c:v>
                </c:pt>
                <c:pt idx="1">
                  <c:v>Sugar</c:v>
                </c:pt>
                <c:pt idx="2">
                  <c:v>Power Generation</c:v>
                </c:pt>
              </c:strCache>
            </c:strRef>
          </c:cat>
          <c:val>
            <c:numRef>
              <c:f>Pivot_Analyses!$H$3:$H$5</c:f>
              <c:numCache>
                <c:formatCode>0%</c:formatCode>
                <c:ptCount val="3"/>
                <c:pt idx="0">
                  <c:v>0.54166666666666663</c:v>
                </c:pt>
                <c:pt idx="1">
                  <c:v>0.7321428571428571</c:v>
                </c:pt>
                <c:pt idx="2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4E-4D00-9D23-AAB04087435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66293328"/>
        <c:axId val="1666294768"/>
      </c:barChart>
      <c:catAx>
        <c:axId val="1666293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294768"/>
        <c:crosses val="autoZero"/>
        <c:auto val="1"/>
        <c:lblAlgn val="ctr"/>
        <c:lblOffset val="100"/>
        <c:noMultiLvlLbl val="0"/>
      </c:catAx>
      <c:valAx>
        <c:axId val="1666294768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29332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baseline="0"/>
              <a:t>Equipment Performance Matrix  </a:t>
            </a:r>
          </a:p>
          <a:p>
            <a:pPr>
              <a:defRPr/>
            </a:pPr>
            <a:r>
              <a:rPr lang="en-ID" sz="1400" b="0" i="0" u="none" strike="noStrike" baseline="0"/>
              <a:t>Win Rate vs Avg Value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Pivot_Analyses!$P$27</c:f>
              <c:strCache>
                <c:ptCount val="1"/>
                <c:pt idx="0">
                  <c:v>Win Rate %</c:v>
                </c:pt>
              </c:strCache>
            </c:strRef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1"/>
            <c:spPr>
              <a:solidFill>
                <a:srgbClr val="1E3A5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546-4B67-8625-DCC10DF12471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4F00932E-EA2A-4F4D-94B7-159FF69E29A8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8546-4B67-8625-DCC10DF1247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A74DDD5-8328-4E74-8351-55AB5F0A29C4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8546-4B67-8625-DCC10DF1247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3FE2A6C-7105-41D4-8AE3-4E9B6CF0A3BB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8546-4B67-8625-DCC10DF1247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C25C2E0-7580-4BB6-A950-8DE9596C37D3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8546-4B67-8625-DCC10DF1247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70857EE-10E4-4A78-91A9-6466AF5F43C3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8546-4B67-8625-DCC10DF1247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Pivot_Analyses!$O$28:$O$32</c:f>
              <c:numCache>
                <c:formatCode>_-* #,##0.00_-;\-* #,##0.00_-;_-* "-"_-;_-@_-</c:formatCode>
                <c:ptCount val="5"/>
                <c:pt idx="0">
                  <c:v>867.1875</c:v>
                </c:pt>
                <c:pt idx="1">
                  <c:v>974.375</c:v>
                </c:pt>
                <c:pt idx="2">
                  <c:v>2655.78125</c:v>
                </c:pt>
                <c:pt idx="3">
                  <c:v>1675.6666666666667</c:v>
                </c:pt>
                <c:pt idx="4">
                  <c:v>274.5</c:v>
                </c:pt>
              </c:numCache>
            </c:numRef>
          </c:xVal>
          <c:yVal>
            <c:numRef>
              <c:f>Pivot_Analyses!$P$28:$P$32</c:f>
              <c:numCache>
                <c:formatCode>0.0%</c:formatCode>
                <c:ptCount val="5"/>
                <c:pt idx="0">
                  <c:v>0.6875</c:v>
                </c:pt>
                <c:pt idx="1">
                  <c:v>0.4375</c:v>
                </c:pt>
                <c:pt idx="2">
                  <c:v>0.625</c:v>
                </c:pt>
                <c:pt idx="3">
                  <c:v>0.8</c:v>
                </c:pt>
                <c:pt idx="4">
                  <c:v>1</c:v>
                </c:pt>
              </c:numCache>
            </c:numRef>
          </c:yVal>
          <c:bubbleSize>
            <c:numRef>
              <c:f>Pivot_Analyses!$Q$28:$Q$32</c:f>
              <c:numCache>
                <c:formatCode>General</c:formatCode>
                <c:ptCount val="5"/>
                <c:pt idx="0">
                  <c:v>16</c:v>
                </c:pt>
                <c:pt idx="1">
                  <c:v>16</c:v>
                </c:pt>
                <c:pt idx="2">
                  <c:v>32</c:v>
                </c:pt>
                <c:pt idx="3">
                  <c:v>30</c:v>
                </c:pt>
                <c:pt idx="4">
                  <c:v>10</c:v>
                </c:pt>
              </c:numCache>
            </c:numRef>
          </c:bubbleSize>
          <c:bubble3D val="1"/>
          <c:extLst>
            <c:ext xmlns:c15="http://schemas.microsoft.com/office/drawing/2012/chart" uri="{02D57815-91ED-43cb-92C2-25804820EDAC}">
              <c15:datalabelsRange>
                <c15:f>Pivot_Analyses!$N$28:$N$32</c15:f>
                <c15:dlblRangeCache>
                  <c:ptCount val="5"/>
                  <c:pt idx="0">
                    <c:v>Instrumentation</c:v>
                  </c:pt>
                  <c:pt idx="1">
                    <c:v>Material Handling</c:v>
                  </c:pt>
                  <c:pt idx="2">
                    <c:v>Power &amp; Utilities</c:v>
                  </c:pt>
                  <c:pt idx="3">
                    <c:v>Process Machinery</c:v>
                  </c:pt>
                  <c:pt idx="4">
                    <c:v>Spare Parts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8546-4B67-8625-DCC10DF12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1912204912"/>
        <c:axId val="1912207792"/>
      </c:bubbleChart>
      <c:valAx>
        <c:axId val="191220491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Tender value (Rp. Milion)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.00_-;\-* #,##0.00_-;_-* &quot;-&quot;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207792"/>
        <c:crosses val="autoZero"/>
        <c:crossBetween val="midCat"/>
      </c:valAx>
      <c:valAx>
        <c:axId val="19122077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Win Rate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204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Why</a:t>
            </a:r>
            <a:r>
              <a:rPr lang="en-ID" baseline="0"/>
              <a:t> We Lose Tenders - Loss Reason Breakdown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C0392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283-4FA8-AB0A-006062106FE2}"/>
              </c:ext>
            </c:extLst>
          </c:dPt>
          <c:dPt>
            <c:idx val="1"/>
            <c:bubble3D val="0"/>
            <c:spPr>
              <a:solidFill>
                <a:srgbClr val="E67E2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283-4FA8-AB0A-006062106FE2}"/>
              </c:ext>
            </c:extLst>
          </c:dPt>
          <c:dPt>
            <c:idx val="2"/>
            <c:bubble3D val="0"/>
            <c:spPr>
              <a:solidFill>
                <a:srgbClr val="E74C3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283-4FA8-AB0A-006062106FE2}"/>
              </c:ext>
            </c:extLst>
          </c:dPt>
          <c:dLbls>
            <c:dLbl>
              <c:idx val="0"/>
              <c:layout>
                <c:manualLayout>
                  <c:x val="0.13769469391703873"/>
                  <c:y val="-4.3944667089735817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283-4FA8-AB0A-006062106FE2}"/>
                </c:ext>
              </c:extLst>
            </c:dLbl>
            <c:dLbl>
              <c:idx val="1"/>
              <c:layout>
                <c:manualLayout>
                  <c:x val="-0.13239874415099878"/>
                  <c:y val="-4.394466708973501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283-4FA8-AB0A-006062106FE2}"/>
                </c:ext>
              </c:extLst>
            </c:dLbl>
            <c:dLbl>
              <c:idx val="2"/>
              <c:layout>
                <c:manualLayout>
                  <c:x val="0.20124609110951824"/>
                  <c:y val="-7.031146734357603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283-4FA8-AB0A-006062106FE2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Pivot_Analyses!$G$62:$G$64</c:f>
              <c:strCache>
                <c:ptCount val="3"/>
                <c:pt idx="0">
                  <c:v>Higher Price</c:v>
                </c:pt>
                <c:pt idx="1">
                  <c:v>Lost to Tender Specs</c:v>
                </c:pt>
                <c:pt idx="2">
                  <c:v>Technical Mismatch</c:v>
                </c:pt>
              </c:strCache>
            </c:strRef>
          </c:cat>
          <c:val>
            <c:numRef>
              <c:f>Pivot_Analyses!$H$62:$H$64</c:f>
              <c:numCache>
                <c:formatCode>General</c:formatCode>
                <c:ptCount val="3"/>
                <c:pt idx="0">
                  <c:v>25</c:v>
                </c:pt>
                <c:pt idx="1">
                  <c:v>6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83-4FA8-AB0A-006062106FE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Tender</a:t>
            </a:r>
            <a:r>
              <a:rPr lang="en-ID" baseline="0"/>
              <a:t> Volume vs Win Rate Trend </a:t>
            </a:r>
            <a:br>
              <a:rPr lang="en-ID" baseline="0"/>
            </a:br>
            <a:r>
              <a:rPr lang="en-ID" baseline="0"/>
              <a:t>Q1 - 2022 to Q4 2025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Pivot_Analyses!$H$112</c:f>
              <c:strCache>
                <c:ptCount val="1"/>
                <c:pt idx="0">
                  <c:v>Total Tender</c:v>
                </c:pt>
              </c:strCache>
            </c:strRef>
          </c:tx>
          <c:spPr>
            <a:solidFill>
              <a:srgbClr val="1E3A5F"/>
            </a:solidFill>
            <a:ln>
              <a:noFill/>
            </a:ln>
            <a:effectLst/>
          </c:spPr>
          <c:invertIfNegative val="0"/>
          <c:cat>
            <c:strRef>
              <c:f>Pivot_Analyses!$G$113:$G$128</c:f>
              <c:strCache>
                <c:ptCount val="16"/>
                <c:pt idx="0">
                  <c:v>Q1-2022</c:v>
                </c:pt>
                <c:pt idx="1">
                  <c:v>Q1-2023</c:v>
                </c:pt>
                <c:pt idx="2">
                  <c:v>Q1-2024</c:v>
                </c:pt>
                <c:pt idx="3">
                  <c:v>Q1-2025</c:v>
                </c:pt>
                <c:pt idx="4">
                  <c:v>Q2-2022</c:v>
                </c:pt>
                <c:pt idx="5">
                  <c:v>Q2-2023</c:v>
                </c:pt>
                <c:pt idx="6">
                  <c:v>Q2-2024</c:v>
                </c:pt>
                <c:pt idx="7">
                  <c:v>Q2-2025</c:v>
                </c:pt>
                <c:pt idx="8">
                  <c:v>Q3-2022</c:v>
                </c:pt>
                <c:pt idx="9">
                  <c:v>Q3-2023</c:v>
                </c:pt>
                <c:pt idx="10">
                  <c:v>Q3-2024</c:v>
                </c:pt>
                <c:pt idx="11">
                  <c:v>Q3-2025</c:v>
                </c:pt>
                <c:pt idx="12">
                  <c:v>Q4-2022</c:v>
                </c:pt>
                <c:pt idx="13">
                  <c:v>Q4-2023</c:v>
                </c:pt>
                <c:pt idx="14">
                  <c:v>Q4-2024</c:v>
                </c:pt>
                <c:pt idx="15">
                  <c:v>Q4-2025</c:v>
                </c:pt>
              </c:strCache>
            </c:strRef>
          </c:cat>
          <c:val>
            <c:numRef>
              <c:f>Pivot_Analyses!$H$113:$H$128</c:f>
              <c:numCache>
                <c:formatCode>General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6</c:v>
                </c:pt>
                <c:pt idx="8">
                  <c:v>7</c:v>
                </c:pt>
                <c:pt idx="9">
                  <c:v>7</c:v>
                </c:pt>
                <c:pt idx="10">
                  <c:v>6</c:v>
                </c:pt>
                <c:pt idx="11">
                  <c:v>7</c:v>
                </c:pt>
                <c:pt idx="12">
                  <c:v>7</c:v>
                </c:pt>
                <c:pt idx="13">
                  <c:v>6</c:v>
                </c:pt>
                <c:pt idx="14">
                  <c:v>7</c:v>
                </c:pt>
                <c:pt idx="1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22-4DB6-855C-A157E4348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2653359"/>
        <c:axId val="1162655759"/>
      </c:barChart>
      <c:lineChart>
        <c:grouping val="standard"/>
        <c:varyColors val="0"/>
        <c:ser>
          <c:idx val="1"/>
          <c:order val="1"/>
          <c:tx>
            <c:strRef>
              <c:f>Pivot_Analyses!$I$112</c:f>
              <c:strCache>
                <c:ptCount val="1"/>
                <c:pt idx="0">
                  <c:v>Win Rate</c:v>
                </c:pt>
              </c:strCache>
            </c:strRef>
          </c:tx>
          <c:spPr>
            <a:ln w="38100" cap="rnd">
              <a:solidFill>
                <a:srgbClr val="D4A017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 w="31750" cap="rnd">
                <a:solidFill>
                  <a:schemeClr val="accent2"/>
                </a:solidFill>
              </a:ln>
              <a:effectLst/>
            </c:spPr>
          </c:marker>
          <c:trendline>
            <c:spPr>
              <a:ln w="22225" cap="rnd">
                <a:solidFill>
                  <a:schemeClr val="bg2">
                    <a:lumMod val="75000"/>
                  </a:schemeClr>
                </a:solidFill>
                <a:prstDash val="dash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strRef>
              <c:f>Pivot_Analyses!$G$113:$G$128</c:f>
              <c:strCache>
                <c:ptCount val="16"/>
                <c:pt idx="0">
                  <c:v>Q1-2022</c:v>
                </c:pt>
                <c:pt idx="1">
                  <c:v>Q1-2023</c:v>
                </c:pt>
                <c:pt idx="2">
                  <c:v>Q1-2024</c:v>
                </c:pt>
                <c:pt idx="3">
                  <c:v>Q1-2025</c:v>
                </c:pt>
                <c:pt idx="4">
                  <c:v>Q2-2022</c:v>
                </c:pt>
                <c:pt idx="5">
                  <c:v>Q2-2023</c:v>
                </c:pt>
                <c:pt idx="6">
                  <c:v>Q2-2024</c:v>
                </c:pt>
                <c:pt idx="7">
                  <c:v>Q2-2025</c:v>
                </c:pt>
                <c:pt idx="8">
                  <c:v>Q3-2022</c:v>
                </c:pt>
                <c:pt idx="9">
                  <c:v>Q3-2023</c:v>
                </c:pt>
                <c:pt idx="10">
                  <c:v>Q3-2024</c:v>
                </c:pt>
                <c:pt idx="11">
                  <c:v>Q3-2025</c:v>
                </c:pt>
                <c:pt idx="12">
                  <c:v>Q4-2022</c:v>
                </c:pt>
                <c:pt idx="13">
                  <c:v>Q4-2023</c:v>
                </c:pt>
                <c:pt idx="14">
                  <c:v>Q4-2024</c:v>
                </c:pt>
                <c:pt idx="15">
                  <c:v>Q4-2025</c:v>
                </c:pt>
              </c:strCache>
            </c:strRef>
          </c:cat>
          <c:val>
            <c:numRef>
              <c:f>Pivot_Analyses!$I$113:$I$128</c:f>
              <c:numCache>
                <c:formatCode>0.0%</c:formatCode>
                <c:ptCount val="16"/>
                <c:pt idx="0">
                  <c:v>0.66666666666666663</c:v>
                </c:pt>
                <c:pt idx="1">
                  <c:v>0.66666666666666663</c:v>
                </c:pt>
                <c:pt idx="2">
                  <c:v>0.66666666666666663</c:v>
                </c:pt>
                <c:pt idx="3">
                  <c:v>0.83333333333333337</c:v>
                </c:pt>
                <c:pt idx="4">
                  <c:v>0.5714285714285714</c:v>
                </c:pt>
                <c:pt idx="5">
                  <c:v>0.5714285714285714</c:v>
                </c:pt>
                <c:pt idx="6">
                  <c:v>0.7142857142857143</c:v>
                </c:pt>
                <c:pt idx="7">
                  <c:v>0.66666666666666663</c:v>
                </c:pt>
                <c:pt idx="8">
                  <c:v>0.5714285714285714</c:v>
                </c:pt>
                <c:pt idx="9">
                  <c:v>0.8571428571428571</c:v>
                </c:pt>
                <c:pt idx="10">
                  <c:v>0.66666666666666663</c:v>
                </c:pt>
                <c:pt idx="11">
                  <c:v>0.7142857142857143</c:v>
                </c:pt>
                <c:pt idx="12">
                  <c:v>0.7142857142857143</c:v>
                </c:pt>
                <c:pt idx="13">
                  <c:v>0.66666666666666663</c:v>
                </c:pt>
                <c:pt idx="14">
                  <c:v>0.7142857142857143</c:v>
                </c:pt>
                <c:pt idx="15">
                  <c:v>0.83333333333333337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E22-4DB6-855C-A157E4348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0740143"/>
        <c:axId val="1168486559"/>
      </c:lineChart>
      <c:catAx>
        <c:axId val="1162653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655759"/>
        <c:crosses val="autoZero"/>
        <c:auto val="1"/>
        <c:lblAlgn val="ctr"/>
        <c:lblOffset val="100"/>
        <c:noMultiLvlLbl val="0"/>
      </c:catAx>
      <c:valAx>
        <c:axId val="1162655759"/>
        <c:scaling>
          <c:orientation val="minMax"/>
          <c:max val="1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Total Tender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653359"/>
        <c:crosses val="autoZero"/>
        <c:crossBetween val="between"/>
      </c:valAx>
      <c:valAx>
        <c:axId val="1168486559"/>
        <c:scaling>
          <c:orientation val="minMax"/>
          <c:max val="1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Win</a:t>
                </a:r>
                <a:r>
                  <a:rPr lang="en-ID" baseline="0"/>
                  <a:t> Rate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740143"/>
        <c:crosses val="max"/>
        <c:crossBetween val="between"/>
      </c:valAx>
      <c:catAx>
        <c:axId val="130074014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6848655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[Tender_Analysis_Master.xlsx]Pivot_Analyses!PivotTable8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baseline="0"/>
              <a:t>Regional Specialization Pattern: Industry Concentration per Region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ivotFmts>
      <c:pivotFmt>
        <c:idx val="0"/>
        <c:spPr>
          <a:solidFill>
            <a:srgbClr val="1E3A5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392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D4A01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Pivot_Analyses!$B$148:$B$149</c:f>
              <c:strCache>
                <c:ptCount val="1"/>
                <c:pt idx="0">
                  <c:v>Power Generation</c:v>
                </c:pt>
              </c:strCache>
            </c:strRef>
          </c:tx>
          <c:spPr>
            <a:solidFill>
              <a:srgbClr val="1E3A5F"/>
            </a:solidFill>
            <a:ln>
              <a:noFill/>
            </a:ln>
            <a:effectLst/>
          </c:spPr>
          <c:invertIfNegative val="0"/>
          <c:cat>
            <c:strRef>
              <c:f>Pivot_Analyses!$A$150:$A$158</c:f>
              <c:strCache>
                <c:ptCount val="8"/>
                <c:pt idx="0">
                  <c:v>Central Java</c:v>
                </c:pt>
                <c:pt idx="1">
                  <c:v>East Java</c:v>
                </c:pt>
                <c:pt idx="2">
                  <c:v>East Kalimantan</c:v>
                </c:pt>
                <c:pt idx="3">
                  <c:v>Jakarta</c:v>
                </c:pt>
                <c:pt idx="4">
                  <c:v>Lampung</c:v>
                </c:pt>
                <c:pt idx="5">
                  <c:v>Riau</c:v>
                </c:pt>
                <c:pt idx="6">
                  <c:v>South Sumatra</c:v>
                </c:pt>
                <c:pt idx="7">
                  <c:v>West Java</c:v>
                </c:pt>
              </c:strCache>
            </c:strRef>
          </c:cat>
          <c:val>
            <c:numRef>
              <c:f>Pivot_Analyses!$B$150:$B$158</c:f>
              <c:numCache>
                <c:formatCode>General</c:formatCode>
                <c:ptCount val="8"/>
                <c:pt idx="3">
                  <c:v>9</c:v>
                </c:pt>
                <c:pt idx="6">
                  <c:v>7</c:v>
                </c:pt>
                <c:pt idx="7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97-412A-BA41-A9EFA8F49D2C}"/>
            </c:ext>
          </c:extLst>
        </c:ser>
        <c:ser>
          <c:idx val="1"/>
          <c:order val="1"/>
          <c:tx>
            <c:strRef>
              <c:f>Pivot_Analyses!$C$148:$C$149</c:f>
              <c:strCache>
                <c:ptCount val="1"/>
                <c:pt idx="0">
                  <c:v>Pulp &amp; Paper</c:v>
                </c:pt>
              </c:strCache>
            </c:strRef>
          </c:tx>
          <c:spPr>
            <a:solidFill>
              <a:srgbClr val="C0392B"/>
            </a:solidFill>
            <a:ln>
              <a:noFill/>
            </a:ln>
            <a:effectLst/>
          </c:spPr>
          <c:invertIfNegative val="0"/>
          <c:cat>
            <c:strRef>
              <c:f>Pivot_Analyses!$A$150:$A$158</c:f>
              <c:strCache>
                <c:ptCount val="8"/>
                <c:pt idx="0">
                  <c:v>Central Java</c:v>
                </c:pt>
                <c:pt idx="1">
                  <c:v>East Java</c:v>
                </c:pt>
                <c:pt idx="2">
                  <c:v>East Kalimantan</c:v>
                </c:pt>
                <c:pt idx="3">
                  <c:v>Jakarta</c:v>
                </c:pt>
                <c:pt idx="4">
                  <c:v>Lampung</c:v>
                </c:pt>
                <c:pt idx="5">
                  <c:v>Riau</c:v>
                </c:pt>
                <c:pt idx="6">
                  <c:v>South Sumatra</c:v>
                </c:pt>
                <c:pt idx="7">
                  <c:v>West Java</c:v>
                </c:pt>
              </c:strCache>
            </c:strRef>
          </c:cat>
          <c:val>
            <c:numRef>
              <c:f>Pivot_Analyses!$C$150:$C$158</c:f>
              <c:numCache>
                <c:formatCode>General</c:formatCode>
                <c:ptCount val="8"/>
                <c:pt idx="2">
                  <c:v>12</c:v>
                </c:pt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97-412A-BA41-A9EFA8F49D2C}"/>
            </c:ext>
          </c:extLst>
        </c:ser>
        <c:ser>
          <c:idx val="2"/>
          <c:order val="2"/>
          <c:tx>
            <c:strRef>
              <c:f>Pivot_Analyses!$D$148:$D$149</c:f>
              <c:strCache>
                <c:ptCount val="1"/>
                <c:pt idx="0">
                  <c:v>Sugar</c:v>
                </c:pt>
              </c:strCache>
            </c:strRef>
          </c:tx>
          <c:spPr>
            <a:solidFill>
              <a:srgbClr val="D4A017"/>
            </a:solidFill>
            <a:ln>
              <a:noFill/>
            </a:ln>
            <a:effectLst/>
          </c:spPr>
          <c:invertIfNegative val="0"/>
          <c:cat>
            <c:strRef>
              <c:f>Pivot_Analyses!$A$150:$A$158</c:f>
              <c:strCache>
                <c:ptCount val="8"/>
                <c:pt idx="0">
                  <c:v>Central Java</c:v>
                </c:pt>
                <c:pt idx="1">
                  <c:v>East Java</c:v>
                </c:pt>
                <c:pt idx="2">
                  <c:v>East Kalimantan</c:v>
                </c:pt>
                <c:pt idx="3">
                  <c:v>Jakarta</c:v>
                </c:pt>
                <c:pt idx="4">
                  <c:v>Lampung</c:v>
                </c:pt>
                <c:pt idx="5">
                  <c:v>Riau</c:v>
                </c:pt>
                <c:pt idx="6">
                  <c:v>South Sumatra</c:v>
                </c:pt>
                <c:pt idx="7">
                  <c:v>West Java</c:v>
                </c:pt>
              </c:strCache>
            </c:strRef>
          </c:cat>
          <c:val>
            <c:numRef>
              <c:f>Pivot_Analyses!$D$150:$D$158</c:f>
              <c:numCache>
                <c:formatCode>General</c:formatCode>
                <c:ptCount val="8"/>
                <c:pt idx="0">
                  <c:v>14</c:v>
                </c:pt>
                <c:pt idx="1">
                  <c:v>14</c:v>
                </c:pt>
                <c:pt idx="4">
                  <c:v>17</c:v>
                </c:pt>
                <c:pt idx="6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97-412A-BA41-A9EFA8F49D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41367536"/>
        <c:axId val="1741368016"/>
      </c:barChart>
      <c:catAx>
        <c:axId val="1741367536"/>
        <c:scaling>
          <c:orientation val="maxMin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368016"/>
        <c:crosses val="autoZero"/>
        <c:auto val="1"/>
        <c:lblAlgn val="ctr"/>
        <c:lblOffset val="100"/>
        <c:noMultiLvlLbl val="0"/>
      </c:catAx>
      <c:valAx>
        <c:axId val="1741368016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Total Tender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367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1" i="0" u="none" strike="noStrike" baseline="0"/>
              <a:t>Win Rate by Industry 2022-2025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Pivot_Analyses!$H$2</c:f>
              <c:strCache>
                <c:ptCount val="1"/>
                <c:pt idx="0">
                  <c:v>Win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1E3A5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1DD-41F5-B62B-53ED2586CA97}"/>
              </c:ext>
            </c:extLst>
          </c:dPt>
          <c:dPt>
            <c:idx val="1"/>
            <c:invertIfNegative val="0"/>
            <c:bubble3D val="0"/>
            <c:spPr>
              <a:solidFill>
                <a:srgbClr val="D4A01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1DD-41F5-B62B-53ED2586CA97}"/>
              </c:ext>
            </c:extLst>
          </c:dPt>
          <c:dPt>
            <c:idx val="2"/>
            <c:invertIfNegative val="0"/>
            <c:bubble3D val="0"/>
            <c:spPr>
              <a:solidFill>
                <a:srgbClr val="1E3A5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1DD-41F5-B62B-53ED2586CA9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Pivot_Analyses!$G$3:$G$5</c:f>
              <c:strCache>
                <c:ptCount val="3"/>
                <c:pt idx="0">
                  <c:v>Pulp &amp; Paper</c:v>
                </c:pt>
                <c:pt idx="1">
                  <c:v>Sugar</c:v>
                </c:pt>
                <c:pt idx="2">
                  <c:v>Power Generation</c:v>
                </c:pt>
              </c:strCache>
            </c:strRef>
          </c:cat>
          <c:val>
            <c:numRef>
              <c:f>Pivot_Analyses!$H$3:$H$5</c:f>
              <c:numCache>
                <c:formatCode>0%</c:formatCode>
                <c:ptCount val="3"/>
                <c:pt idx="0">
                  <c:v>0.54166666666666663</c:v>
                </c:pt>
                <c:pt idx="1">
                  <c:v>0.7321428571428571</c:v>
                </c:pt>
                <c:pt idx="2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1DD-41F5-B62B-53ED2586CA9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66293328"/>
        <c:axId val="1666294768"/>
      </c:barChart>
      <c:catAx>
        <c:axId val="1666293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294768"/>
        <c:crosses val="autoZero"/>
        <c:auto val="1"/>
        <c:lblAlgn val="ctr"/>
        <c:lblOffset val="100"/>
        <c:noMultiLvlLbl val="0"/>
      </c:catAx>
      <c:valAx>
        <c:axId val="1666294768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29332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1" i="0" u="none" strike="noStrike" baseline="0"/>
              <a:t>Equipment Performance Matrix  </a:t>
            </a:r>
          </a:p>
          <a:p>
            <a:pPr>
              <a:defRPr b="1"/>
            </a:pPr>
            <a:r>
              <a:rPr lang="en-ID" sz="1400" b="1" i="0" u="none" strike="noStrike" baseline="0"/>
              <a:t>Win Rate vs Avg Value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209254056814673"/>
          <c:y val="0.24872865750223608"/>
          <c:w val="0.80931287464250945"/>
          <c:h val="0.49595692221724308"/>
        </c:manualLayout>
      </c:layout>
      <c:bubbleChart>
        <c:varyColors val="0"/>
        <c:ser>
          <c:idx val="0"/>
          <c:order val="0"/>
          <c:tx>
            <c:strRef>
              <c:f>Pivot_Analyses!$P$27</c:f>
              <c:strCache>
                <c:ptCount val="1"/>
                <c:pt idx="0">
                  <c:v>Win Rate %</c:v>
                </c:pt>
              </c:strCache>
            </c:strRef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1"/>
            <c:spPr>
              <a:solidFill>
                <a:srgbClr val="1E3A5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864-412E-A2E8-8BCD80120683}"/>
              </c:ext>
            </c:extLst>
          </c:dPt>
          <c:dLbls>
            <c:dLbl>
              <c:idx val="0"/>
              <c:layout>
                <c:manualLayout>
                  <c:x val="-3.4460979957173149E-2"/>
                  <c:y val="-8.2261257027988588E-2"/>
                </c:manualLayout>
              </c:layout>
              <c:tx>
                <c:rich>
                  <a:bodyPr/>
                  <a:lstStyle/>
                  <a:p>
                    <a:fld id="{922C5363-0488-4861-8BE1-BB7263D09208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1864-412E-A2E8-8BCD8012068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2061596-6A69-46AC-9096-BBBF5A0BD2B1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1864-412E-A2E8-8BCD8012068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74D1B52-E9BD-4D17-BABF-B0C3B5D42B22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1864-412E-A2E8-8BCD80120683}"/>
                </c:ext>
              </c:extLst>
            </c:dLbl>
            <c:dLbl>
              <c:idx val="3"/>
              <c:layout>
                <c:manualLayout>
                  <c:x val="-1.0650100588942177E-2"/>
                  <c:y val="-4.6956515308933244E-2"/>
                </c:manualLayout>
              </c:layout>
              <c:tx>
                <c:rich>
                  <a:bodyPr/>
                  <a:lstStyle/>
                  <a:p>
                    <a:fld id="{13C86F0F-5920-4D7C-B2EA-56B51CF064EB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1864-412E-A2E8-8BCD8012068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F8E8302-E40A-4504-8173-B1B981C095D7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1864-412E-A2E8-8BCD8012068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Pivot_Analyses!$O$28:$O$32</c:f>
              <c:numCache>
                <c:formatCode>_-* #,##0.00_-;\-* #,##0.00_-;_-* "-"_-;_-@_-</c:formatCode>
                <c:ptCount val="5"/>
                <c:pt idx="0">
                  <c:v>867.1875</c:v>
                </c:pt>
                <c:pt idx="1">
                  <c:v>974.375</c:v>
                </c:pt>
                <c:pt idx="2">
                  <c:v>2655.78125</c:v>
                </c:pt>
                <c:pt idx="3">
                  <c:v>1675.6666666666667</c:v>
                </c:pt>
                <c:pt idx="4">
                  <c:v>274.5</c:v>
                </c:pt>
              </c:numCache>
            </c:numRef>
          </c:xVal>
          <c:yVal>
            <c:numRef>
              <c:f>Pivot_Analyses!$P$28:$P$32</c:f>
              <c:numCache>
                <c:formatCode>0.0%</c:formatCode>
                <c:ptCount val="5"/>
                <c:pt idx="0">
                  <c:v>0.6875</c:v>
                </c:pt>
                <c:pt idx="1">
                  <c:v>0.4375</c:v>
                </c:pt>
                <c:pt idx="2">
                  <c:v>0.625</c:v>
                </c:pt>
                <c:pt idx="3">
                  <c:v>0.8</c:v>
                </c:pt>
                <c:pt idx="4">
                  <c:v>1</c:v>
                </c:pt>
              </c:numCache>
            </c:numRef>
          </c:yVal>
          <c:bubbleSize>
            <c:numRef>
              <c:f>Pivot_Analyses!$Q$28:$Q$32</c:f>
              <c:numCache>
                <c:formatCode>General</c:formatCode>
                <c:ptCount val="5"/>
                <c:pt idx="0">
                  <c:v>16</c:v>
                </c:pt>
                <c:pt idx="1">
                  <c:v>16</c:v>
                </c:pt>
                <c:pt idx="2">
                  <c:v>32</c:v>
                </c:pt>
                <c:pt idx="3">
                  <c:v>30</c:v>
                </c:pt>
                <c:pt idx="4">
                  <c:v>10</c:v>
                </c:pt>
              </c:numCache>
            </c:numRef>
          </c:bubbleSize>
          <c:bubble3D val="1"/>
          <c:extLst>
            <c:ext xmlns:c15="http://schemas.microsoft.com/office/drawing/2012/chart" uri="{02D57815-91ED-43cb-92C2-25804820EDAC}">
              <c15:datalabelsRange>
                <c15:f>Pivot_Analyses!$N$28:$N$32</c15:f>
                <c15:dlblRangeCache>
                  <c:ptCount val="5"/>
                  <c:pt idx="0">
                    <c:v>Instrumentation</c:v>
                  </c:pt>
                  <c:pt idx="1">
                    <c:v>Material Handling</c:v>
                  </c:pt>
                  <c:pt idx="2">
                    <c:v>Power &amp; Utilities</c:v>
                  </c:pt>
                  <c:pt idx="3">
                    <c:v>Process Machinery</c:v>
                  </c:pt>
                  <c:pt idx="4">
                    <c:v>Spare Parts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1864-412E-A2E8-8BCD801206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1912204912"/>
        <c:axId val="1912207792"/>
      </c:bubbleChart>
      <c:valAx>
        <c:axId val="191220491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Tender value (Rp. Milion)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.00_-;\-* #,##0.00_-;_-* &quot;-&quot;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207792"/>
        <c:crosses val="autoZero"/>
        <c:crossBetween val="midCat"/>
      </c:valAx>
      <c:valAx>
        <c:axId val="19122077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Win Rate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204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b="1"/>
              <a:t>Why</a:t>
            </a:r>
            <a:r>
              <a:rPr lang="en-ID" b="1" baseline="0"/>
              <a:t> We Lose Tenders - Loss Reason Breakdown</a:t>
            </a:r>
            <a:endParaRPr lang="en-ID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C0392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122-417D-BBA8-BD8FE619C92D}"/>
              </c:ext>
            </c:extLst>
          </c:dPt>
          <c:dPt>
            <c:idx val="1"/>
            <c:bubble3D val="0"/>
            <c:spPr>
              <a:solidFill>
                <a:srgbClr val="E67E2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122-417D-BBA8-BD8FE619C92D}"/>
              </c:ext>
            </c:extLst>
          </c:dPt>
          <c:dPt>
            <c:idx val="2"/>
            <c:bubble3D val="0"/>
            <c:spPr>
              <a:solidFill>
                <a:srgbClr val="E74C3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122-417D-BBA8-BD8FE619C92D}"/>
              </c:ext>
            </c:extLst>
          </c:dPt>
          <c:dLbls>
            <c:dLbl>
              <c:idx val="0"/>
              <c:layout>
                <c:manualLayout>
                  <c:x val="0.13769469391703873"/>
                  <c:y val="-4.3944667089735817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122-417D-BBA8-BD8FE619C92D}"/>
                </c:ext>
              </c:extLst>
            </c:dLbl>
            <c:dLbl>
              <c:idx val="1"/>
              <c:layout>
                <c:manualLayout>
                  <c:x val="-0.13239874415099878"/>
                  <c:y val="-4.394466708973501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122-417D-BBA8-BD8FE619C92D}"/>
                </c:ext>
              </c:extLst>
            </c:dLbl>
            <c:dLbl>
              <c:idx val="2"/>
              <c:layout>
                <c:manualLayout>
                  <c:x val="0.2039838962634804"/>
                  <c:y val="1.6082807582514958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122-417D-BBA8-BD8FE619C92D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Pivot_Analyses!$G$62:$G$64</c:f>
              <c:strCache>
                <c:ptCount val="3"/>
                <c:pt idx="0">
                  <c:v>Higher Price</c:v>
                </c:pt>
                <c:pt idx="1">
                  <c:v>Lost to Tender Specs</c:v>
                </c:pt>
                <c:pt idx="2">
                  <c:v>Technical Mismatch</c:v>
                </c:pt>
              </c:strCache>
            </c:strRef>
          </c:cat>
          <c:val>
            <c:numRef>
              <c:f>Pivot_Analyses!$H$62:$H$64</c:f>
              <c:numCache>
                <c:formatCode>General</c:formatCode>
                <c:ptCount val="3"/>
                <c:pt idx="0">
                  <c:v>25</c:v>
                </c:pt>
                <c:pt idx="1">
                  <c:v>6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122-417D-BBA8-BD8FE619C92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[Tender_Analysis_Master.xlsx]Pivot_Analyses!PivotTable8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1" i="0" u="none" strike="noStrike" baseline="0"/>
              <a:t>Regional Specialization Pattern</a:t>
            </a:r>
            <a:endParaRPr lang="en-ID" b="1"/>
          </a:p>
        </c:rich>
      </c:tx>
      <c:layout>
        <c:manualLayout>
          <c:xMode val="edge"/>
          <c:yMode val="edge"/>
          <c:x val="0.25323405868825494"/>
          <c:y val="4.78326084684431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ivotFmts>
      <c:pivotFmt>
        <c:idx val="0"/>
        <c:spPr>
          <a:solidFill>
            <a:srgbClr val="1E3A5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392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D4A01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1E3A5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0392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D4A01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1E3A5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C0392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D4A01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Pivot_Analyses!$B$148:$B$149</c:f>
              <c:strCache>
                <c:ptCount val="1"/>
                <c:pt idx="0">
                  <c:v>Power Generation</c:v>
                </c:pt>
              </c:strCache>
            </c:strRef>
          </c:tx>
          <c:spPr>
            <a:solidFill>
              <a:srgbClr val="1E3A5F"/>
            </a:solidFill>
            <a:ln>
              <a:noFill/>
            </a:ln>
            <a:effectLst/>
          </c:spPr>
          <c:invertIfNegative val="0"/>
          <c:cat>
            <c:strRef>
              <c:f>Pivot_Analyses!$A$150:$A$158</c:f>
              <c:strCache>
                <c:ptCount val="8"/>
                <c:pt idx="0">
                  <c:v>Central Java</c:v>
                </c:pt>
                <c:pt idx="1">
                  <c:v>East Java</c:v>
                </c:pt>
                <c:pt idx="2">
                  <c:v>East Kalimantan</c:v>
                </c:pt>
                <c:pt idx="3">
                  <c:v>Jakarta</c:v>
                </c:pt>
                <c:pt idx="4">
                  <c:v>Lampung</c:v>
                </c:pt>
                <c:pt idx="5">
                  <c:v>Riau</c:v>
                </c:pt>
                <c:pt idx="6">
                  <c:v>South Sumatra</c:v>
                </c:pt>
                <c:pt idx="7">
                  <c:v>West Java</c:v>
                </c:pt>
              </c:strCache>
            </c:strRef>
          </c:cat>
          <c:val>
            <c:numRef>
              <c:f>Pivot_Analyses!$B$150:$B$158</c:f>
              <c:numCache>
                <c:formatCode>General</c:formatCode>
                <c:ptCount val="8"/>
                <c:pt idx="3">
                  <c:v>9</c:v>
                </c:pt>
                <c:pt idx="6">
                  <c:v>7</c:v>
                </c:pt>
                <c:pt idx="7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43-4A87-BEF4-BC652980E0ED}"/>
            </c:ext>
          </c:extLst>
        </c:ser>
        <c:ser>
          <c:idx val="1"/>
          <c:order val="1"/>
          <c:tx>
            <c:strRef>
              <c:f>Pivot_Analyses!$C$148:$C$149</c:f>
              <c:strCache>
                <c:ptCount val="1"/>
                <c:pt idx="0">
                  <c:v>Pulp &amp; Paper</c:v>
                </c:pt>
              </c:strCache>
            </c:strRef>
          </c:tx>
          <c:spPr>
            <a:solidFill>
              <a:srgbClr val="C0392B"/>
            </a:solidFill>
            <a:ln>
              <a:noFill/>
            </a:ln>
            <a:effectLst/>
          </c:spPr>
          <c:invertIfNegative val="0"/>
          <c:cat>
            <c:strRef>
              <c:f>Pivot_Analyses!$A$150:$A$158</c:f>
              <c:strCache>
                <c:ptCount val="8"/>
                <c:pt idx="0">
                  <c:v>Central Java</c:v>
                </c:pt>
                <c:pt idx="1">
                  <c:v>East Java</c:v>
                </c:pt>
                <c:pt idx="2">
                  <c:v>East Kalimantan</c:v>
                </c:pt>
                <c:pt idx="3">
                  <c:v>Jakarta</c:v>
                </c:pt>
                <c:pt idx="4">
                  <c:v>Lampung</c:v>
                </c:pt>
                <c:pt idx="5">
                  <c:v>Riau</c:v>
                </c:pt>
                <c:pt idx="6">
                  <c:v>South Sumatra</c:v>
                </c:pt>
                <c:pt idx="7">
                  <c:v>West Java</c:v>
                </c:pt>
              </c:strCache>
            </c:strRef>
          </c:cat>
          <c:val>
            <c:numRef>
              <c:f>Pivot_Analyses!$C$150:$C$158</c:f>
              <c:numCache>
                <c:formatCode>General</c:formatCode>
                <c:ptCount val="8"/>
                <c:pt idx="2">
                  <c:v>12</c:v>
                </c:pt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43-4A87-BEF4-BC652980E0ED}"/>
            </c:ext>
          </c:extLst>
        </c:ser>
        <c:ser>
          <c:idx val="2"/>
          <c:order val="2"/>
          <c:tx>
            <c:strRef>
              <c:f>Pivot_Analyses!$D$148:$D$149</c:f>
              <c:strCache>
                <c:ptCount val="1"/>
                <c:pt idx="0">
                  <c:v>Sugar</c:v>
                </c:pt>
              </c:strCache>
            </c:strRef>
          </c:tx>
          <c:spPr>
            <a:solidFill>
              <a:srgbClr val="D4A017"/>
            </a:solidFill>
            <a:ln>
              <a:noFill/>
            </a:ln>
            <a:effectLst/>
          </c:spPr>
          <c:invertIfNegative val="0"/>
          <c:cat>
            <c:strRef>
              <c:f>Pivot_Analyses!$A$150:$A$158</c:f>
              <c:strCache>
                <c:ptCount val="8"/>
                <c:pt idx="0">
                  <c:v>Central Java</c:v>
                </c:pt>
                <c:pt idx="1">
                  <c:v>East Java</c:v>
                </c:pt>
                <c:pt idx="2">
                  <c:v>East Kalimantan</c:v>
                </c:pt>
                <c:pt idx="3">
                  <c:v>Jakarta</c:v>
                </c:pt>
                <c:pt idx="4">
                  <c:v>Lampung</c:v>
                </c:pt>
                <c:pt idx="5">
                  <c:v>Riau</c:v>
                </c:pt>
                <c:pt idx="6">
                  <c:v>South Sumatra</c:v>
                </c:pt>
                <c:pt idx="7">
                  <c:v>West Java</c:v>
                </c:pt>
              </c:strCache>
            </c:strRef>
          </c:cat>
          <c:val>
            <c:numRef>
              <c:f>Pivot_Analyses!$D$150:$D$158</c:f>
              <c:numCache>
                <c:formatCode>General</c:formatCode>
                <c:ptCount val="8"/>
                <c:pt idx="0">
                  <c:v>14</c:v>
                </c:pt>
                <c:pt idx="1">
                  <c:v>14</c:v>
                </c:pt>
                <c:pt idx="4">
                  <c:v>17</c:v>
                </c:pt>
                <c:pt idx="6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43-4A87-BEF4-BC652980E0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41367536"/>
        <c:axId val="1741368016"/>
      </c:barChart>
      <c:catAx>
        <c:axId val="1741367536"/>
        <c:scaling>
          <c:orientation val="maxMin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368016"/>
        <c:crosses val="autoZero"/>
        <c:auto val="1"/>
        <c:lblAlgn val="ctr"/>
        <c:lblOffset val="100"/>
        <c:noMultiLvlLbl val="0"/>
      </c:catAx>
      <c:valAx>
        <c:axId val="174136801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Total Tender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367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</xdr:rowOff>
    </xdr:from>
    <xdr:to>
      <xdr:col>4</xdr:col>
      <xdr:colOff>79375</xdr:colOff>
      <xdr:row>22</xdr:row>
      <xdr:rowOff>173935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A07F563-9752-1AC3-E969-835CD90C6F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222251</xdr:colOff>
      <xdr:row>7</xdr:row>
      <xdr:rowOff>8282</xdr:rowOff>
    </xdr:from>
    <xdr:to>
      <xdr:col>7</xdr:col>
      <xdr:colOff>739588</xdr:colOff>
      <xdr:row>22</xdr:row>
      <xdr:rowOff>182217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63F489-BBEF-19A7-9F9A-336EFD6BFC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</xdr:colOff>
      <xdr:row>33</xdr:row>
      <xdr:rowOff>169003</xdr:rowOff>
    </xdr:from>
    <xdr:to>
      <xdr:col>6</xdr:col>
      <xdr:colOff>963706</xdr:colOff>
      <xdr:row>56</xdr:row>
      <xdr:rowOff>156882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81E418B-2FE3-4028-A5ED-70549D45FD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504265</xdr:colOff>
      <xdr:row>65</xdr:row>
      <xdr:rowOff>135590</xdr:rowOff>
    </xdr:from>
    <xdr:to>
      <xdr:col>4</xdr:col>
      <xdr:colOff>67235</xdr:colOff>
      <xdr:row>80</xdr:row>
      <xdr:rowOff>56030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6C4AF71-1A62-C24C-A15C-BBDCFE1DA0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56029</xdr:colOff>
      <xdr:row>71</xdr:row>
      <xdr:rowOff>97491</xdr:rowOff>
    </xdr:from>
    <xdr:to>
      <xdr:col>2</xdr:col>
      <xdr:colOff>1030941</xdr:colOff>
      <xdr:row>74</xdr:row>
      <xdr:rowOff>67236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884106C-333B-9580-EFAA-E2673E4E4D68}"/>
            </a:ext>
          </a:extLst>
        </xdr:cNvPr>
        <xdr:cNvSpPr txBox="1"/>
      </xdr:nvSpPr>
      <xdr:spPr>
        <a:xfrm>
          <a:off x="2442882" y="13622991"/>
          <a:ext cx="974912" cy="5412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400" b="1"/>
            <a:t>32 Total</a:t>
          </a:r>
        </a:p>
        <a:p>
          <a:pPr algn="ctr"/>
          <a:r>
            <a:rPr lang="en-ID" sz="1400" b="1"/>
            <a:t>Losses</a:t>
          </a:r>
        </a:p>
      </xdr:txBody>
    </xdr:sp>
    <xdr:clientData/>
  </xdr:twoCellAnchor>
  <xdr:oneCellAnchor>
    <xdr:from>
      <xdr:col>11</xdr:col>
      <xdr:colOff>683559</xdr:colOff>
      <xdr:row>60</xdr:row>
      <xdr:rowOff>78441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91B6935-F164-4970-A052-80A416B796CD}"/>
            </a:ext>
          </a:extLst>
        </xdr:cNvPr>
        <xdr:cNvSpPr txBox="1"/>
      </xdr:nvSpPr>
      <xdr:spPr>
        <a:xfrm>
          <a:off x="12494559" y="1150844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twoCellAnchor>
    <xdr:from>
      <xdr:col>9</xdr:col>
      <xdr:colOff>285749</xdr:colOff>
      <xdr:row>111</xdr:row>
      <xdr:rowOff>34737</xdr:rowOff>
    </xdr:from>
    <xdr:to>
      <xdr:col>14</xdr:col>
      <xdr:colOff>806823</xdr:colOff>
      <xdr:row>128</xdr:row>
      <xdr:rowOff>56029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9AE3C82-B0F1-6BDD-CA13-32764AB125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733984</xdr:colOff>
      <xdr:row>145</xdr:row>
      <xdr:rowOff>67235</xdr:rowOff>
    </xdr:from>
    <xdr:to>
      <xdr:col>11</xdr:col>
      <xdr:colOff>1019736</xdr:colOff>
      <xdr:row>166</xdr:row>
      <xdr:rowOff>145676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6983408-A32A-5256-307F-ADBAF2D9EB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81244</xdr:colOff>
      <xdr:row>8</xdr:row>
      <xdr:rowOff>47625</xdr:rowOff>
    </xdr:from>
    <xdr:to>
      <xdr:col>7</xdr:col>
      <xdr:colOff>357469</xdr:colOff>
      <xdr:row>19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0ED946-DB8E-4B0E-9268-EE2673E50F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433668</xdr:colOff>
      <xdr:row>8</xdr:row>
      <xdr:rowOff>56029</xdr:rowOff>
    </xdr:from>
    <xdr:to>
      <xdr:col>14</xdr:col>
      <xdr:colOff>624168</xdr:colOff>
      <xdr:row>19</xdr:row>
      <xdr:rowOff>57150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192E7CF-4C90-4706-B69A-C68714AB67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90768</xdr:colOff>
      <xdr:row>19</xdr:row>
      <xdr:rowOff>114300</xdr:rowOff>
    </xdr:from>
    <xdr:to>
      <xdr:col>7</xdr:col>
      <xdr:colOff>357468</xdr:colOff>
      <xdr:row>30</xdr:row>
      <xdr:rowOff>142875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3173D7E-D974-4C15-9683-3CDEB8353E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431986</xdr:colOff>
      <xdr:row>19</xdr:row>
      <xdr:rowOff>123826</xdr:rowOff>
    </xdr:from>
    <xdr:to>
      <xdr:col>14</xdr:col>
      <xdr:colOff>622486</xdr:colOff>
      <xdr:row>30</xdr:row>
      <xdr:rowOff>152400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FC58915-ADF8-47D2-B5C0-DB8E29E0D3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HILA" refreshedDate="46150.224754976851" createdVersion="8" refreshedVersion="8" minRefreshableVersion="3" recordCount="104" xr:uid="{71877F8C-D46B-49FF-B500-87F3A2C128A2}">
  <cacheSource type="worksheet">
    <worksheetSource name="tblTender"/>
  </cacheSource>
  <cacheFields count="18">
    <cacheField name="Tender_ID" numFmtId="0">
      <sharedItems count="104">
        <s v="TND-2022-001"/>
        <s v="TND-2022-002"/>
        <s v="TND-2022-003"/>
        <s v="TND-2022-004"/>
        <s v="TND-2022-005"/>
        <s v="TND-2022-006"/>
        <s v="TND-2022-007"/>
        <s v="TND-2022-008"/>
        <s v="TND-2022-009"/>
        <s v="TND-2022-010"/>
        <s v="TND-2022-011"/>
        <s v="TND-2022-012"/>
        <s v="TND-2022-013"/>
        <s v="TND-2022-014"/>
        <s v="TND-2022-015"/>
        <s v="TND-2022-016"/>
        <s v="TND-2022-017"/>
        <s v="TND-2022-018"/>
        <s v="TND-2022-019"/>
        <s v="TND-2022-020"/>
        <s v="TND-2022-021"/>
        <s v="TND-2022-022"/>
        <s v="TND-2022-023"/>
        <s v="TND-2022-024"/>
        <s v="TND-2022-025"/>
        <s v="TND-2022-026"/>
        <s v="TND-2022-027"/>
        <s v="TND-2023-028"/>
        <s v="TND-2023-029"/>
        <s v="TND-2023-030"/>
        <s v="TND-2023-031"/>
        <s v="TND-2023-032"/>
        <s v="TND-2023-033"/>
        <s v="TND-2023-034"/>
        <s v="TND-2023-035"/>
        <s v="TND-2023-036"/>
        <s v="TND-2023-037"/>
        <s v="TND-2023-038"/>
        <s v="TND-2023-039"/>
        <s v="TND-2023-040"/>
        <s v="TND-2023-041"/>
        <s v="TND-2023-042"/>
        <s v="TND-2023-043"/>
        <s v="TND-2023-044"/>
        <s v="TND-2023-045"/>
        <s v="TND-2023-046"/>
        <s v="TND-2023-047"/>
        <s v="TND-2023-048"/>
        <s v="TND-2023-049"/>
        <s v="TND-2023-050"/>
        <s v="TND-2023-051"/>
        <s v="TND-2023-052"/>
        <s v="TND-2023-053"/>
        <s v="TND-2024-054"/>
        <s v="TND-2024-055"/>
        <s v="TND-2024-056"/>
        <s v="TND-2024-057"/>
        <s v="TND-2024-058"/>
        <s v="TND-2024-059"/>
        <s v="TND-2024-060"/>
        <s v="TND-2024-061"/>
        <s v="TND-2024-062"/>
        <s v="TND-2024-063"/>
        <s v="TND-2024-064"/>
        <s v="TND-2024-065"/>
        <s v="TND-2024-066"/>
        <s v="TND-2024-067"/>
        <s v="TND-2024-068"/>
        <s v="TND-2024-069"/>
        <s v="TND-2024-070"/>
        <s v="TND-2024-071"/>
        <s v="TND-2024-072"/>
        <s v="TND-2024-073"/>
        <s v="TND-2024-074"/>
        <s v="TND-2024-075"/>
        <s v="TND-2024-076"/>
        <s v="TND-2024-077"/>
        <s v="TND-2024-078"/>
        <s v="TND-2024-079"/>
        <s v="TND-2025-080"/>
        <s v="TND-2025-081"/>
        <s v="TND-2025-082"/>
        <s v="TND-2025-083"/>
        <s v="TND-2025-084"/>
        <s v="TND-2025-085"/>
        <s v="TND-2025-086"/>
        <s v="TND-2025-087"/>
        <s v="TND-2025-088"/>
        <s v="TND-2025-089"/>
        <s v="TND-2025-090"/>
        <s v="TND-2025-091"/>
        <s v="TND-2025-092"/>
        <s v="TND-2025-093"/>
        <s v="TND-2025-094"/>
        <s v="TND-2025-095"/>
        <s v="TND-2025-096"/>
        <s v="TND-2025-097"/>
        <s v="TND-2025-098"/>
        <s v="TND-2025-099"/>
        <s v="TND-2025-100"/>
        <s v="TND-2025-101"/>
        <s v="TND-2025-102"/>
        <s v="TND-2025-103"/>
        <s v="TND-2025-104"/>
      </sharedItems>
    </cacheField>
    <cacheField name="Submission_Date" numFmtId="164">
      <sharedItems containsSemiMixedTypes="0" containsNonDate="0" containsDate="1" containsString="0" minDate="2022-01-15T00:00:00" maxDate="2025-12-18T00:00:00"/>
    </cacheField>
    <cacheField name="Client_Industry" numFmtId="0">
      <sharedItems count="3">
        <s v="Sugar"/>
        <s v="Pulp &amp; Paper"/>
        <s v="Power Generation"/>
      </sharedItems>
    </cacheField>
    <cacheField name="Client_Region" numFmtId="0">
      <sharedItems count="8">
        <s v="Lampung"/>
        <s v="Riau"/>
        <s v="East Java"/>
        <s v="South Sumatra"/>
        <s v="Central Java"/>
        <s v="East Kalimantan"/>
        <s v="Jakarta"/>
        <s v="West Java"/>
      </sharedItems>
    </cacheField>
    <cacheField name="Equipment_Category" numFmtId="0">
      <sharedItems count="5">
        <s v="Process Machinery"/>
        <s v="Power &amp; Utilities"/>
        <s v="Instrumentation"/>
        <s v="Material Handling"/>
        <s v="Spare Parts"/>
      </sharedItems>
    </cacheField>
    <cacheField name="Equipment_Type" numFmtId="0">
      <sharedItems count="66">
        <s v="Centrifugal Machine"/>
        <s v="Generator 2MW"/>
        <s v="Transformer 1500kVA"/>
        <s v="Pressure Sensors Set"/>
        <s v="Conveyor System"/>
        <s v="Electromotor 250HP"/>
        <s v="Generator 5MW"/>
        <s v="Control System Upgrade"/>
        <s v="Pump Set Industrial"/>
        <s v="Inverter VSD 200HP"/>
        <s v="Gearbox Heavy Duty"/>
        <s v="Bearing &amp; Seals Bundle"/>
        <s v="Generator 1MW"/>
        <s v="Piping System Industrial"/>
        <s v="Flow Meters Set"/>
        <s v="Transformer 2000kVA"/>
        <s v="Vacuum Pan Components"/>
        <s v="Generator Spare Parts Bundle"/>
        <s v="Electromotor 500HP"/>
        <s v="SCADA System Upgrade"/>
        <s v="Conveyor Belt Heavy Duty"/>
        <s v="Gearbox &amp; Coupling"/>
        <s v="Inverter VSD 300HP"/>
        <s v="Centrifugal Pump Set"/>
        <s v="Centrifugal Spare Parts"/>
        <s v="Vacuum Pan System"/>
        <s v="Generator 3MW"/>
        <s v="Temperature Sensors Bundle"/>
        <s v="Pump Industrial Heavy Duty"/>
        <s v="Transformer 1000kVA"/>
        <s v="Gearbox Industrial"/>
        <s v="Electromotor 1000HP"/>
        <s v="Control Valve Set"/>
        <s v="Transformer Spare Parts"/>
        <s v="Conveyor System Upgrade"/>
        <s v="Pump Centrifugal Industrial"/>
        <s v="Inverter VSD 500HP"/>
        <s v="Pressure Sensors Bundle"/>
        <s v="Piping System Replacement"/>
        <s v="VSD Spare Parts Bundle"/>
        <s v="SCADA Upgrade"/>
        <s v="Centrifugal Pump Heavy Duty"/>
        <s v="Conveyor Belt System"/>
        <s v="Electromotor 750HP"/>
        <s v="Control System Replacement"/>
        <s v="Inverter VSD 400HP"/>
        <s v="Transformer 2500kVA"/>
        <s v="Flow Meter Bundle"/>
        <s v="Generator Maintenance Kit"/>
        <s v="Electromotor 600HP"/>
        <s v="Generator 4MW"/>
        <s v="SCADA System"/>
        <s v="Inverter VSD 800HP"/>
        <s v="Centrifugal Bearings Bundle"/>
        <s v="Conveyor Belt Replacement"/>
        <s v="Electromotor 800HP"/>
        <s v="Pump Industrial"/>
        <s v="Electromotor 1200HP"/>
        <s v="Control Valve Bundle"/>
        <s v="Generator Spare Parts"/>
        <s v="Centrifugal Pump"/>
        <s v="Inverter VSD 600HP"/>
        <s v="SCADA Replacement"/>
        <s v="Piping System"/>
        <s v="Pump Centrifugal Heavy Duty"/>
        <s v="Control System"/>
      </sharedItems>
    </cacheField>
    <cacheField name="Project_Type" numFmtId="0">
      <sharedItems/>
    </cacheField>
    <cacheField name="Tender_Value_IDR" numFmtId="165">
      <sharedItems containsSemiMixedTypes="0" containsString="0" containsNumber="1" containsInteger="1" minValue="145000000" maxValue="9250000000"/>
    </cacheField>
    <cacheField name="Our_Bid_IDR" numFmtId="165">
      <sharedItems containsSemiMixedTypes="0" containsString="0" containsNumber="1" containsInteger="1" minValue="142000000" maxValue="9050000000"/>
    </cacheField>
    <cacheField name="Bid_Margin_Pct" numFmtId="166">
      <sharedItems containsSemiMixedTypes="0" containsString="0" containsNumber="1" minValue="9.5" maxValue="24.5"/>
    </cacheField>
    <cacheField name="Lead_Time_Days" numFmtId="0">
      <sharedItems containsSemiMixedTypes="0" containsString="0" containsNumber="1" containsInteger="1" minValue="25" maxValue="170"/>
    </cacheField>
    <cacheField name="Status" numFmtId="0">
      <sharedItems count="2">
        <s v="Win"/>
        <s v="Loss"/>
      </sharedItems>
    </cacheField>
    <cacheField name="Win_Loss_Reason" numFmtId="0">
      <sharedItems count="6">
        <s v="Better Technical Specs"/>
        <s v="Higher Price"/>
        <s v="Established Relationship"/>
        <s v="Faster Lead Time"/>
        <s v="Technical Mismatch"/>
        <s v="Lost to Tender Specs"/>
      </sharedItems>
    </cacheField>
    <cacheField name="Competitor_Type" numFmtId="0">
      <sharedItems/>
    </cacheField>
    <cacheField name="Principal_Origin" numFmtId="0">
      <sharedItems/>
    </cacheField>
    <cacheField name="Quotation_Revisions" numFmtId="0">
      <sharedItems containsSemiMixedTypes="0" containsString="0" containsNumber="1" containsInteger="1" minValue="1" maxValue="3"/>
    </cacheField>
    <cacheField name="Decision_Maker_Level" numFmtId="0">
      <sharedItems/>
    </cacheField>
    <cacheField name="Tender_Quarter" numFmtId="0">
      <sharedItems count="16">
        <s v="Q1-2022"/>
        <s v="Q2-2022"/>
        <s v="Q3-2022"/>
        <s v="Q4-2022"/>
        <s v="Q1-2023"/>
        <s v="Q2-2023"/>
        <s v="Q3-2023"/>
        <s v="Q4-2023"/>
        <s v="Q1-2024"/>
        <s v="Q2-2024"/>
        <s v="Q3-2024"/>
        <s v="Q4-2024"/>
        <s v="Q1-2025"/>
        <s v="Q2-2025"/>
        <s v="Q3-2025"/>
        <s v="Q4-2025"/>
      </sharedItems>
    </cacheField>
  </cacheFields>
  <extLst>
    <ext xmlns:x14="http://schemas.microsoft.com/office/spreadsheetml/2009/9/main" uri="{725AE2AE-9491-48be-B2B4-4EB974FC3084}">
      <x14:pivotCacheDefinition pivotCacheId="112397507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">
  <r>
    <x v="0"/>
    <d v="2022-01-15T00:00:00"/>
    <x v="0"/>
    <x v="0"/>
    <x v="0"/>
    <x v="0"/>
    <s v="New Installation"/>
    <n v="2850000000"/>
    <n v="2750000000"/>
    <n v="12.5"/>
    <n v="90"/>
    <x v="0"/>
    <x v="0"/>
    <s v="Local Distributor"/>
    <s v="European"/>
    <n v="2"/>
    <s v="Plant Manager"/>
    <x v="0"/>
  </r>
  <r>
    <x v="1"/>
    <d v="2022-01-28T00:00:00"/>
    <x v="1"/>
    <x v="1"/>
    <x v="1"/>
    <x v="1"/>
    <s v="Replacement"/>
    <n v="4200000000"/>
    <n v="4150000000"/>
    <n v="11.2"/>
    <n v="120"/>
    <x v="1"/>
    <x v="1"/>
    <s v="International OEM"/>
    <s v="European"/>
    <n v="1"/>
    <s v="Procurement Director"/>
    <x v="0"/>
  </r>
  <r>
    <x v="2"/>
    <d v="2022-02-10T00:00:00"/>
    <x v="0"/>
    <x v="2"/>
    <x v="1"/>
    <x v="2"/>
    <s v="New Installation"/>
    <n v="1850000000"/>
    <n v="1780000000"/>
    <n v="15.8"/>
    <n v="75"/>
    <x v="0"/>
    <x v="2"/>
    <s v="Local Distributor"/>
    <s v="Asian"/>
    <n v="1"/>
    <s v="Engineering Head"/>
    <x v="0"/>
  </r>
  <r>
    <x v="3"/>
    <d v="2022-02-22T00:00:00"/>
    <x v="2"/>
    <x v="3"/>
    <x v="2"/>
    <x v="3"/>
    <s v="Replacement"/>
    <n v="425000000"/>
    <n v="418000000"/>
    <n v="18.3"/>
    <n v="45"/>
    <x v="0"/>
    <x v="3"/>
    <s v="Local Distributor"/>
    <s v="European"/>
    <n v="2"/>
    <s v="Procurement Manager"/>
    <x v="0"/>
  </r>
  <r>
    <x v="4"/>
    <d v="2022-03-05T00:00:00"/>
    <x v="0"/>
    <x v="4"/>
    <x v="3"/>
    <x v="4"/>
    <s v="Upgrade"/>
    <n v="1250000000"/>
    <n v="1295000000"/>
    <n v="14.5"/>
    <n v="60"/>
    <x v="1"/>
    <x v="4"/>
    <s v="International OEM"/>
    <s v="European"/>
    <n v="3"/>
    <s v="Plant Manager"/>
    <x v="0"/>
  </r>
  <r>
    <x v="5"/>
    <d v="2022-03-18T00:00:00"/>
    <x v="1"/>
    <x v="5"/>
    <x v="1"/>
    <x v="5"/>
    <s v="Replacement"/>
    <n v="680000000"/>
    <n v="665000000"/>
    <n v="13.2"/>
    <n v="50"/>
    <x v="0"/>
    <x v="0"/>
    <s v="Local Distributor"/>
    <s v="European"/>
    <n v="1"/>
    <s v="Engineering Head"/>
    <x v="0"/>
  </r>
  <r>
    <x v="6"/>
    <d v="2022-04-02T00:00:00"/>
    <x v="0"/>
    <x v="0"/>
    <x v="0"/>
    <x v="0"/>
    <s v="New Installation"/>
    <n v="3100000000"/>
    <n v="3050000000"/>
    <n v="11.8"/>
    <n v="95"/>
    <x v="1"/>
    <x v="1"/>
    <s v="International OEM"/>
    <s v="European"/>
    <n v="2"/>
    <s v="Plant Manager"/>
    <x v="1"/>
  </r>
  <r>
    <x v="7"/>
    <d v="2022-04-15T00:00:00"/>
    <x v="2"/>
    <x v="6"/>
    <x v="1"/>
    <x v="6"/>
    <s v="New Installation"/>
    <n v="8500000000"/>
    <n v="8350000000"/>
    <n v="9.5"/>
    <n v="150"/>
    <x v="1"/>
    <x v="1"/>
    <s v="International OEM"/>
    <s v="European"/>
    <n v="3"/>
    <s v="Procurement Director"/>
    <x v="1"/>
  </r>
  <r>
    <x v="8"/>
    <d v="2022-04-28T00:00:00"/>
    <x v="0"/>
    <x v="2"/>
    <x v="2"/>
    <x v="7"/>
    <s v="Upgrade"/>
    <n v="950000000"/>
    <n v="925000000"/>
    <n v="17.2"/>
    <n v="55"/>
    <x v="0"/>
    <x v="0"/>
    <s v="Local Distributor"/>
    <s v="Asian"/>
    <n v="1"/>
    <s v="Engineering Head"/>
    <x v="1"/>
  </r>
  <r>
    <x v="9"/>
    <d v="2022-05-12T00:00:00"/>
    <x v="1"/>
    <x v="1"/>
    <x v="3"/>
    <x v="8"/>
    <s v="Replacement"/>
    <n v="520000000"/>
    <n v="498000000"/>
    <n v="15.5"/>
    <n v="40"/>
    <x v="0"/>
    <x v="3"/>
    <s v="Local Distributor"/>
    <s v="European"/>
    <n v="1"/>
    <s v="Procurement Manager"/>
    <x v="1"/>
  </r>
  <r>
    <x v="10"/>
    <d v="2022-05-25T00:00:00"/>
    <x v="0"/>
    <x v="3"/>
    <x v="1"/>
    <x v="9"/>
    <s v="Replacement"/>
    <n v="385000000"/>
    <n v="395000000"/>
    <n v="16.8"/>
    <n v="35"/>
    <x v="1"/>
    <x v="1"/>
    <s v="Local Distributor"/>
    <s v="Asian"/>
    <n v="2"/>
    <s v="Engineering Head"/>
    <x v="1"/>
  </r>
  <r>
    <x v="11"/>
    <d v="2022-06-08T00:00:00"/>
    <x v="2"/>
    <x v="7"/>
    <x v="0"/>
    <x v="10"/>
    <s v="Replacement"/>
    <n v="720000000"/>
    <n v="705000000"/>
    <n v="14"/>
    <n v="70"/>
    <x v="0"/>
    <x v="2"/>
    <s v="Local Distributor"/>
    <s v="European"/>
    <n v="1"/>
    <s v="Plant Manager"/>
    <x v="1"/>
  </r>
  <r>
    <x v="12"/>
    <d v="2022-06-20T00:00:00"/>
    <x v="0"/>
    <x v="0"/>
    <x v="4"/>
    <x v="11"/>
    <s v="Replacement"/>
    <n v="180000000"/>
    <n v="175000000"/>
    <n v="22.5"/>
    <n v="30"/>
    <x v="0"/>
    <x v="3"/>
    <s v="Local Distributor"/>
    <s v="European"/>
    <n v="1"/>
    <s v="Procurement Manager"/>
    <x v="1"/>
  </r>
  <r>
    <x v="13"/>
    <d v="2022-07-05T00:00:00"/>
    <x v="1"/>
    <x v="5"/>
    <x v="0"/>
    <x v="0"/>
    <s v="New Installation"/>
    <n v="2650000000"/>
    <n v="2580000000"/>
    <n v="12.8"/>
    <n v="100"/>
    <x v="1"/>
    <x v="5"/>
    <s v="International OEM"/>
    <s v="European"/>
    <n v="2"/>
    <s v="Plant Manager"/>
    <x v="2"/>
  </r>
  <r>
    <x v="14"/>
    <d v="2022-07-18T00:00:00"/>
    <x v="0"/>
    <x v="4"/>
    <x v="1"/>
    <x v="12"/>
    <s v="New Installation"/>
    <n v="2150000000"/>
    <n v="2080000000"/>
    <n v="13.5"/>
    <n v="110"/>
    <x v="0"/>
    <x v="0"/>
    <s v="Local Distributor"/>
    <s v="European"/>
    <n v="1"/>
    <s v="Procurement Director"/>
    <x v="2"/>
  </r>
  <r>
    <x v="15"/>
    <d v="2022-08-02T00:00:00"/>
    <x v="2"/>
    <x v="3"/>
    <x v="3"/>
    <x v="13"/>
    <s v="Upgrade"/>
    <n v="1450000000"/>
    <n v="1485000000"/>
    <n v="14.2"/>
    <n v="80"/>
    <x v="1"/>
    <x v="1"/>
    <s v="International OEM"/>
    <s v="European"/>
    <n v="3"/>
    <s v="Engineering Head"/>
    <x v="2"/>
  </r>
  <r>
    <x v="16"/>
    <d v="2022-08-15T00:00:00"/>
    <x v="0"/>
    <x v="2"/>
    <x v="2"/>
    <x v="14"/>
    <s v="Replacement"/>
    <n v="275000000"/>
    <n v="268000000"/>
    <n v="19.5"/>
    <n v="40"/>
    <x v="0"/>
    <x v="2"/>
    <s v="Local Distributor"/>
    <s v="Asian"/>
    <n v="1"/>
    <s v="Engineering Head"/>
    <x v="2"/>
  </r>
  <r>
    <x v="17"/>
    <d v="2022-08-28T00:00:00"/>
    <x v="1"/>
    <x v="1"/>
    <x v="1"/>
    <x v="15"/>
    <s v="Replacement"/>
    <n v="2350000000"/>
    <n v="2295000000"/>
    <n v="12.3"/>
    <n v="90"/>
    <x v="0"/>
    <x v="0"/>
    <s v="Local Distributor"/>
    <s v="European"/>
    <n v="2"/>
    <s v="Plant Manager"/>
    <x v="2"/>
  </r>
  <r>
    <x v="18"/>
    <d v="2022-09-10T00:00:00"/>
    <x v="0"/>
    <x v="0"/>
    <x v="0"/>
    <x v="16"/>
    <s v="Replacement"/>
    <n v="890000000"/>
    <n v="915000000"/>
    <n v="15"/>
    <n v="65"/>
    <x v="1"/>
    <x v="5"/>
    <s v="International OEM"/>
    <s v="European"/>
    <n v="2"/>
    <s v="Plant Manager"/>
    <x v="2"/>
  </r>
  <r>
    <x v="19"/>
    <d v="2022-09-23T00:00:00"/>
    <x v="2"/>
    <x v="6"/>
    <x v="4"/>
    <x v="17"/>
    <s v="Replacement"/>
    <n v="485000000"/>
    <n v="475000000"/>
    <n v="21"/>
    <n v="30"/>
    <x v="0"/>
    <x v="3"/>
    <s v="Local Distributor"/>
    <s v="European"/>
    <n v="1"/>
    <s v="Procurement Manager"/>
    <x v="2"/>
  </r>
  <r>
    <x v="20"/>
    <d v="2022-10-05T00:00:00"/>
    <x v="0"/>
    <x v="4"/>
    <x v="1"/>
    <x v="18"/>
    <s v="New Installation"/>
    <n v="1180000000"/>
    <n v="1145000000"/>
    <n v="13.8"/>
    <n v="75"/>
    <x v="0"/>
    <x v="0"/>
    <s v="Local Distributor"/>
    <s v="European"/>
    <n v="1"/>
    <s v="Engineering Head"/>
    <x v="3"/>
  </r>
  <r>
    <x v="21"/>
    <d v="2022-10-18T00:00:00"/>
    <x v="1"/>
    <x v="5"/>
    <x v="2"/>
    <x v="19"/>
    <s v="Upgrade"/>
    <n v="1850000000"/>
    <n v="1920000000"/>
    <n v="16.5"/>
    <n v="85"/>
    <x v="1"/>
    <x v="1"/>
    <s v="International OEM"/>
    <s v="European"/>
    <n v="3"/>
    <s v="Procurement Director"/>
    <x v="3"/>
  </r>
  <r>
    <x v="22"/>
    <d v="2022-11-02T00:00:00"/>
    <x v="0"/>
    <x v="3"/>
    <x v="3"/>
    <x v="20"/>
    <s v="Replacement"/>
    <n v="650000000"/>
    <n v="635000000"/>
    <n v="14.8"/>
    <n v="55"/>
    <x v="0"/>
    <x v="2"/>
    <s v="Local Distributor"/>
    <s v="Asian"/>
    <n v="1"/>
    <s v="Plant Manager"/>
    <x v="3"/>
  </r>
  <r>
    <x v="23"/>
    <d v="2022-11-15T00:00:00"/>
    <x v="2"/>
    <x v="7"/>
    <x v="0"/>
    <x v="21"/>
    <s v="Replacement"/>
    <n v="920000000"/>
    <n v="895000000"/>
    <n v="13.5"/>
    <n v="65"/>
    <x v="0"/>
    <x v="0"/>
    <s v="Local Distributor"/>
    <s v="European"/>
    <n v="1"/>
    <s v="Engineering Head"/>
    <x v="3"/>
  </r>
  <r>
    <x v="24"/>
    <d v="2022-11-28T00:00:00"/>
    <x v="0"/>
    <x v="0"/>
    <x v="1"/>
    <x v="22"/>
    <s v="Upgrade"/>
    <n v="520000000"/>
    <n v="535000000"/>
    <n v="15.2"/>
    <n v="40"/>
    <x v="1"/>
    <x v="1"/>
    <s v="International OEM"/>
    <s v="European"/>
    <n v="2"/>
    <s v="Procurement Manager"/>
    <x v="3"/>
  </r>
  <r>
    <x v="25"/>
    <d v="2022-12-12T00:00:00"/>
    <x v="1"/>
    <x v="1"/>
    <x v="0"/>
    <x v="23"/>
    <s v="Replacement"/>
    <n v="780000000"/>
    <n v="762000000"/>
    <n v="14.5"/>
    <n v="50"/>
    <x v="0"/>
    <x v="3"/>
    <s v="Local Distributor"/>
    <s v="European"/>
    <n v="1"/>
    <s v="Engineering Head"/>
    <x v="3"/>
  </r>
  <r>
    <x v="26"/>
    <d v="2022-12-22T00:00:00"/>
    <x v="0"/>
    <x v="2"/>
    <x v="4"/>
    <x v="24"/>
    <s v="Replacement"/>
    <n v="225000000"/>
    <n v="220000000"/>
    <n v="23"/>
    <n v="25"/>
    <x v="0"/>
    <x v="3"/>
    <s v="Local Distributor"/>
    <s v="European"/>
    <n v="1"/>
    <s v="Procurement Manager"/>
    <x v="3"/>
  </r>
  <r>
    <x v="27"/>
    <d v="2023-01-10T00:00:00"/>
    <x v="0"/>
    <x v="4"/>
    <x v="0"/>
    <x v="25"/>
    <s v="New Installation"/>
    <n v="3850000000"/>
    <n v="3780000000"/>
    <n v="11.5"/>
    <n v="130"/>
    <x v="1"/>
    <x v="5"/>
    <s v="International OEM"/>
    <s v="European"/>
    <n v="3"/>
    <s v="Procurement Director"/>
    <x v="4"/>
  </r>
  <r>
    <x v="28"/>
    <d v="2023-01-25T00:00:00"/>
    <x v="2"/>
    <x v="3"/>
    <x v="1"/>
    <x v="26"/>
    <s v="New Installation"/>
    <n v="5650000000"/>
    <n v="5550000000"/>
    <n v="10.8"/>
    <n v="140"/>
    <x v="0"/>
    <x v="0"/>
    <s v="Local Distributor"/>
    <s v="European"/>
    <n v="2"/>
    <s v="Plant Manager"/>
    <x v="4"/>
  </r>
  <r>
    <x v="29"/>
    <d v="2023-02-08T00:00:00"/>
    <x v="0"/>
    <x v="0"/>
    <x v="2"/>
    <x v="27"/>
    <s v="Replacement"/>
    <n v="165000000"/>
    <n v="158000000"/>
    <n v="20.5"/>
    <n v="30"/>
    <x v="0"/>
    <x v="3"/>
    <s v="Local Distributor"/>
    <s v="Asian"/>
    <n v="1"/>
    <s v="Engineering Head"/>
    <x v="4"/>
  </r>
  <r>
    <x v="30"/>
    <d v="2023-02-22T00:00:00"/>
    <x v="1"/>
    <x v="5"/>
    <x v="3"/>
    <x v="28"/>
    <s v="Replacement"/>
    <n v="890000000"/>
    <n v="910000000"/>
    <n v="14"/>
    <n v="60"/>
    <x v="1"/>
    <x v="1"/>
    <s v="International OEM"/>
    <s v="European"/>
    <n v="2"/>
    <s v="Procurement Manager"/>
    <x v="4"/>
  </r>
  <r>
    <x v="31"/>
    <d v="2023-03-08T00:00:00"/>
    <x v="0"/>
    <x v="2"/>
    <x v="1"/>
    <x v="29"/>
    <s v="Replacement"/>
    <n v="1450000000"/>
    <n v="1410000000"/>
    <n v="13.2"/>
    <n v="80"/>
    <x v="0"/>
    <x v="2"/>
    <s v="Local Distributor"/>
    <s v="European"/>
    <n v="1"/>
    <s v="Engineering Head"/>
    <x v="4"/>
  </r>
  <r>
    <x v="32"/>
    <d v="2023-03-22T00:00:00"/>
    <x v="2"/>
    <x v="6"/>
    <x v="0"/>
    <x v="30"/>
    <s v="Replacement"/>
    <n v="580000000"/>
    <n v="565000000"/>
    <n v="15"/>
    <n v="55"/>
    <x v="0"/>
    <x v="0"/>
    <s v="Local Distributor"/>
    <s v="European"/>
    <n v="1"/>
    <s v="Plant Manager"/>
    <x v="4"/>
  </r>
  <r>
    <x v="33"/>
    <d v="2023-04-05T00:00:00"/>
    <x v="0"/>
    <x v="3"/>
    <x v="0"/>
    <x v="0"/>
    <s v="New Installation"/>
    <n v="2950000000"/>
    <n v="2880000000"/>
    <n v="12"/>
    <n v="95"/>
    <x v="0"/>
    <x v="0"/>
    <s v="Local Distributor"/>
    <s v="European"/>
    <n v="2"/>
    <s v="Plant Manager"/>
    <x v="5"/>
  </r>
  <r>
    <x v="34"/>
    <d v="2023-04-18T00:00:00"/>
    <x v="1"/>
    <x v="1"/>
    <x v="1"/>
    <x v="31"/>
    <s v="New Installation"/>
    <n v="1850000000"/>
    <n v="1810000000"/>
    <n v="12.5"/>
    <n v="85"/>
    <x v="0"/>
    <x v="0"/>
    <s v="Local Distributor"/>
    <s v="European"/>
    <n v="1"/>
    <s v="Procurement Director"/>
    <x v="5"/>
  </r>
  <r>
    <x v="35"/>
    <d v="2023-05-02T00:00:00"/>
    <x v="0"/>
    <x v="4"/>
    <x v="2"/>
    <x v="32"/>
    <s v="Replacement"/>
    <n v="395000000"/>
    <n v="405000000"/>
    <n v="17.8"/>
    <n v="45"/>
    <x v="1"/>
    <x v="1"/>
    <s v="International OEM"/>
    <s v="European"/>
    <n v="2"/>
    <s v="Engineering Head"/>
    <x v="5"/>
  </r>
  <r>
    <x v="36"/>
    <d v="2023-05-15T00:00:00"/>
    <x v="2"/>
    <x v="7"/>
    <x v="4"/>
    <x v="33"/>
    <s v="Replacement"/>
    <n v="320000000"/>
    <n v="310000000"/>
    <n v="22"/>
    <n v="30"/>
    <x v="0"/>
    <x v="3"/>
    <s v="Local Distributor"/>
    <s v="European"/>
    <n v="1"/>
    <s v="Procurement Manager"/>
    <x v="5"/>
  </r>
  <r>
    <x v="37"/>
    <d v="2023-05-28T00:00:00"/>
    <x v="0"/>
    <x v="0"/>
    <x v="3"/>
    <x v="34"/>
    <s v="Upgrade"/>
    <n v="1380000000"/>
    <n v="1420000000"/>
    <n v="14.5"/>
    <n v="75"/>
    <x v="1"/>
    <x v="5"/>
    <s v="International OEM"/>
    <s v="European"/>
    <n v="3"/>
    <s v="Plant Manager"/>
    <x v="5"/>
  </r>
  <r>
    <x v="38"/>
    <d v="2023-06-10T00:00:00"/>
    <x v="1"/>
    <x v="5"/>
    <x v="0"/>
    <x v="35"/>
    <s v="Replacement"/>
    <n v="720000000"/>
    <n v="705000000"/>
    <n v="15.2"/>
    <n v="55"/>
    <x v="0"/>
    <x v="0"/>
    <s v="Local Distributor"/>
    <s v="European"/>
    <n v="1"/>
    <s v="Engineering Head"/>
    <x v="5"/>
  </r>
  <r>
    <x v="39"/>
    <d v="2023-06-25T00:00:00"/>
    <x v="0"/>
    <x v="2"/>
    <x v="1"/>
    <x v="36"/>
    <s v="Replacement"/>
    <n v="680000000"/>
    <n v="695000000"/>
    <n v="15.8"/>
    <n v="45"/>
    <x v="1"/>
    <x v="1"/>
    <s v="International OEM"/>
    <s v="European"/>
    <n v="2"/>
    <s v="Procurement Manager"/>
    <x v="5"/>
  </r>
  <r>
    <x v="40"/>
    <d v="2023-07-08T00:00:00"/>
    <x v="0"/>
    <x v="4"/>
    <x v="0"/>
    <x v="0"/>
    <s v="Replacement"/>
    <n v="2450000000"/>
    <n v="2380000000"/>
    <n v="12.5"/>
    <n v="90"/>
    <x v="0"/>
    <x v="2"/>
    <s v="Local Distributor"/>
    <s v="European"/>
    <n v="1"/>
    <s v="Plant Manager"/>
    <x v="6"/>
  </r>
  <r>
    <x v="41"/>
    <d v="2023-07-22T00:00:00"/>
    <x v="2"/>
    <x v="3"/>
    <x v="1"/>
    <x v="1"/>
    <s v="Replacement"/>
    <n v="3850000000"/>
    <n v="3780000000"/>
    <n v="11.5"/>
    <n v="120"/>
    <x v="1"/>
    <x v="1"/>
    <s v="International OEM"/>
    <s v="European"/>
    <n v="2"/>
    <s v="Procurement Director"/>
    <x v="6"/>
  </r>
  <r>
    <x v="42"/>
    <d v="2023-08-05T00:00:00"/>
    <x v="0"/>
    <x v="0"/>
    <x v="2"/>
    <x v="37"/>
    <s v="Replacement"/>
    <n v="225000000"/>
    <n v="218000000"/>
    <n v="19.5"/>
    <n v="35"/>
    <x v="0"/>
    <x v="3"/>
    <s v="Local Distributor"/>
    <s v="Asian"/>
    <n v="1"/>
    <s v="Engineering Head"/>
    <x v="6"/>
  </r>
  <r>
    <x v="43"/>
    <d v="2023-08-18T00:00:00"/>
    <x v="1"/>
    <x v="1"/>
    <x v="3"/>
    <x v="38"/>
    <s v="Replacement"/>
    <n v="1180000000"/>
    <n v="1145000000"/>
    <n v="13.5"/>
    <n v="70"/>
    <x v="0"/>
    <x v="0"/>
    <s v="Local Distributor"/>
    <s v="European"/>
    <n v="1"/>
    <s v="Plant Manager"/>
    <x v="6"/>
  </r>
  <r>
    <x v="44"/>
    <d v="2023-09-02T00:00:00"/>
    <x v="0"/>
    <x v="3"/>
    <x v="1"/>
    <x v="2"/>
    <s v="New Installation"/>
    <n v="1950000000"/>
    <n v="1895000000"/>
    <n v="12.8"/>
    <n v="85"/>
    <x v="0"/>
    <x v="0"/>
    <s v="Local Distributor"/>
    <s v="European"/>
    <n v="2"/>
    <s v="Engineering Head"/>
    <x v="6"/>
  </r>
  <r>
    <x v="45"/>
    <d v="2023-09-15T00:00:00"/>
    <x v="2"/>
    <x v="6"/>
    <x v="0"/>
    <x v="10"/>
    <s v="Replacement"/>
    <n v="820000000"/>
    <n v="805000000"/>
    <n v="14.2"/>
    <n v="60"/>
    <x v="0"/>
    <x v="2"/>
    <s v="Local Distributor"/>
    <s v="European"/>
    <n v="1"/>
    <s v="Plant Manager"/>
    <x v="6"/>
  </r>
  <r>
    <x v="46"/>
    <d v="2023-09-28T00:00:00"/>
    <x v="0"/>
    <x v="2"/>
    <x v="4"/>
    <x v="39"/>
    <s v="Replacement"/>
    <n v="145000000"/>
    <n v="142000000"/>
    <n v="24.5"/>
    <n v="25"/>
    <x v="0"/>
    <x v="3"/>
    <s v="Local Distributor"/>
    <s v="Asian"/>
    <n v="1"/>
    <s v="Procurement Manager"/>
    <x v="6"/>
  </r>
  <r>
    <x v="47"/>
    <d v="2023-10-12T00:00:00"/>
    <x v="1"/>
    <x v="5"/>
    <x v="1"/>
    <x v="12"/>
    <s v="Replacement"/>
    <n v="2250000000"/>
    <n v="2310000000"/>
    <n v="12"/>
    <n v="110"/>
    <x v="1"/>
    <x v="1"/>
    <s v="International OEM"/>
    <s v="European"/>
    <n v="3"/>
    <s v="Procurement Director"/>
    <x v="7"/>
  </r>
  <r>
    <x v="48"/>
    <d v="2023-10-25T00:00:00"/>
    <x v="0"/>
    <x v="0"/>
    <x v="2"/>
    <x v="40"/>
    <s v="Upgrade"/>
    <n v="1350000000"/>
    <n v="1310000000"/>
    <n v="15.5"/>
    <n v="80"/>
    <x v="0"/>
    <x v="0"/>
    <s v="Local Distributor"/>
    <s v="European"/>
    <n v="2"/>
    <s v="Engineering Head"/>
    <x v="7"/>
  </r>
  <r>
    <x v="49"/>
    <d v="2023-11-08T00:00:00"/>
    <x v="2"/>
    <x v="7"/>
    <x v="0"/>
    <x v="41"/>
    <s v="Replacement"/>
    <n v="580000000"/>
    <n v="565000000"/>
    <n v="15.8"/>
    <n v="50"/>
    <x v="0"/>
    <x v="3"/>
    <s v="Local Distributor"/>
    <s v="European"/>
    <n v="1"/>
    <s v="Procurement Manager"/>
    <x v="7"/>
  </r>
  <r>
    <x v="50"/>
    <d v="2023-11-22T00:00:00"/>
    <x v="0"/>
    <x v="4"/>
    <x v="3"/>
    <x v="42"/>
    <s v="Replacement"/>
    <n v="750000000"/>
    <n v="735000000"/>
    <n v="14.8"/>
    <n v="55"/>
    <x v="0"/>
    <x v="0"/>
    <s v="Local Distributor"/>
    <s v="European"/>
    <n v="1"/>
    <s v="Plant Manager"/>
    <x v="7"/>
  </r>
  <r>
    <x v="51"/>
    <d v="2023-12-05T00:00:00"/>
    <x v="1"/>
    <x v="1"/>
    <x v="1"/>
    <x v="43"/>
    <s v="Replacement"/>
    <n v="1180000000"/>
    <n v="1210000000"/>
    <n v="13.2"/>
    <n v="75"/>
    <x v="1"/>
    <x v="1"/>
    <s v="International OEM"/>
    <s v="European"/>
    <n v="2"/>
    <s v="Engineering Head"/>
    <x v="7"/>
  </r>
  <r>
    <x v="52"/>
    <d v="2023-12-18T00:00:00"/>
    <x v="0"/>
    <x v="2"/>
    <x v="0"/>
    <x v="16"/>
    <s v="Replacement"/>
    <n v="950000000"/>
    <n v="925000000"/>
    <n v="14.5"/>
    <n v="65"/>
    <x v="0"/>
    <x v="2"/>
    <s v="Local Distributor"/>
    <s v="European"/>
    <n v="1"/>
    <s v="Plant Manager"/>
    <x v="7"/>
  </r>
  <r>
    <x v="53"/>
    <d v="2024-01-12T00:00:00"/>
    <x v="0"/>
    <x v="3"/>
    <x v="1"/>
    <x v="1"/>
    <s v="New Installation"/>
    <n v="4150000000"/>
    <n v="4060000000"/>
    <n v="11"/>
    <n v="130"/>
    <x v="0"/>
    <x v="0"/>
    <s v="Local Distributor"/>
    <s v="European"/>
    <n v="2"/>
    <s v="Procurement Director"/>
    <x v="8"/>
  </r>
  <r>
    <x v="54"/>
    <d v="2024-01-26T00:00:00"/>
    <x v="2"/>
    <x v="6"/>
    <x v="2"/>
    <x v="44"/>
    <s v="Replacement"/>
    <n v="1280000000"/>
    <n v="1320000000"/>
    <n v="15"/>
    <n v="80"/>
    <x v="1"/>
    <x v="1"/>
    <s v="International OEM"/>
    <s v="European"/>
    <n v="3"/>
    <s v="Engineering Head"/>
    <x v="8"/>
  </r>
  <r>
    <x v="55"/>
    <d v="2024-02-09T00:00:00"/>
    <x v="0"/>
    <x v="0"/>
    <x v="4"/>
    <x v="24"/>
    <s v="Replacement"/>
    <n v="195000000"/>
    <n v="188000000"/>
    <n v="23.5"/>
    <n v="30"/>
    <x v="0"/>
    <x v="3"/>
    <s v="Local Distributor"/>
    <s v="European"/>
    <n v="1"/>
    <s v="Procurement Manager"/>
    <x v="8"/>
  </r>
  <r>
    <x v="56"/>
    <d v="2024-02-23T00:00:00"/>
    <x v="1"/>
    <x v="5"/>
    <x v="3"/>
    <x v="8"/>
    <s v="Replacement"/>
    <n v="650000000"/>
    <n v="635000000"/>
    <n v="15.5"/>
    <n v="55"/>
    <x v="0"/>
    <x v="0"/>
    <s v="Local Distributor"/>
    <s v="European"/>
    <n v="1"/>
    <s v="Engineering Head"/>
    <x v="8"/>
  </r>
  <r>
    <x v="57"/>
    <d v="2024-03-08T00:00:00"/>
    <x v="0"/>
    <x v="4"/>
    <x v="1"/>
    <x v="45"/>
    <s v="Upgrade"/>
    <n v="580000000"/>
    <n v="595000000"/>
    <n v="15.8"/>
    <n v="45"/>
    <x v="1"/>
    <x v="1"/>
    <s v="International OEM"/>
    <s v="European"/>
    <n v="2"/>
    <s v="Plant Manager"/>
    <x v="8"/>
  </r>
  <r>
    <x v="58"/>
    <d v="2024-03-22T00:00:00"/>
    <x v="2"/>
    <x v="3"/>
    <x v="0"/>
    <x v="30"/>
    <s v="Replacement"/>
    <n v="720000000"/>
    <n v="705000000"/>
    <n v="14.5"/>
    <n v="60"/>
    <x v="0"/>
    <x v="2"/>
    <s v="Local Distributor"/>
    <s v="European"/>
    <n v="1"/>
    <s v="Engineering Head"/>
    <x v="8"/>
  </r>
  <r>
    <x v="59"/>
    <d v="2024-04-05T00:00:00"/>
    <x v="0"/>
    <x v="2"/>
    <x v="0"/>
    <x v="0"/>
    <s v="New Installation"/>
    <n v="3250000000"/>
    <n v="3180000000"/>
    <n v="11.8"/>
    <n v="100"/>
    <x v="0"/>
    <x v="0"/>
    <s v="Local Distributor"/>
    <s v="European"/>
    <n v="2"/>
    <s v="Plant Manager"/>
    <x v="9"/>
  </r>
  <r>
    <x v="60"/>
    <d v="2024-04-19T00:00:00"/>
    <x v="1"/>
    <x v="1"/>
    <x v="1"/>
    <x v="46"/>
    <s v="New Installation"/>
    <n v="2850000000"/>
    <n v="2920000000"/>
    <n v="12.5"/>
    <n v="95"/>
    <x v="1"/>
    <x v="1"/>
    <s v="International OEM"/>
    <s v="European"/>
    <n v="3"/>
    <s v="Procurement Director"/>
    <x v="9"/>
  </r>
  <r>
    <x v="61"/>
    <d v="2024-05-03T00:00:00"/>
    <x v="0"/>
    <x v="0"/>
    <x v="2"/>
    <x v="47"/>
    <s v="Replacement"/>
    <n v="285000000"/>
    <n v="278000000"/>
    <n v="19"/>
    <n v="35"/>
    <x v="0"/>
    <x v="3"/>
    <s v="Local Distributor"/>
    <s v="Asian"/>
    <n v="1"/>
    <s v="Engineering Head"/>
    <x v="9"/>
  </r>
  <r>
    <x v="62"/>
    <d v="2024-05-17T00:00:00"/>
    <x v="2"/>
    <x v="7"/>
    <x v="4"/>
    <x v="48"/>
    <s v="Replacement"/>
    <n v="420000000"/>
    <n v="410000000"/>
    <n v="21.5"/>
    <n v="30"/>
    <x v="0"/>
    <x v="3"/>
    <s v="Local Distributor"/>
    <s v="European"/>
    <n v="1"/>
    <s v="Procurement Manager"/>
    <x v="9"/>
  </r>
  <r>
    <x v="63"/>
    <d v="2024-05-30T00:00:00"/>
    <x v="0"/>
    <x v="3"/>
    <x v="3"/>
    <x v="4"/>
    <s v="Replacement"/>
    <n v="1080000000"/>
    <n v="1115000000"/>
    <n v="14.5"/>
    <n v="70"/>
    <x v="1"/>
    <x v="5"/>
    <s v="International OEM"/>
    <s v="European"/>
    <n v="2"/>
    <s v="Plant Manager"/>
    <x v="9"/>
  </r>
  <r>
    <x v="64"/>
    <d v="2024-06-13T00:00:00"/>
    <x v="1"/>
    <x v="5"/>
    <x v="0"/>
    <x v="41"/>
    <s v="Replacement"/>
    <n v="820000000"/>
    <n v="805000000"/>
    <n v="15"/>
    <n v="55"/>
    <x v="0"/>
    <x v="0"/>
    <s v="Local Distributor"/>
    <s v="European"/>
    <n v="1"/>
    <s v="Engineering Head"/>
    <x v="9"/>
  </r>
  <r>
    <x v="65"/>
    <d v="2024-06-27T00:00:00"/>
    <x v="0"/>
    <x v="4"/>
    <x v="1"/>
    <x v="49"/>
    <s v="Replacement"/>
    <n v="1350000000"/>
    <n v="1310000000"/>
    <n v="13.5"/>
    <n v="75"/>
    <x v="0"/>
    <x v="2"/>
    <s v="Local Distributor"/>
    <s v="European"/>
    <n v="1"/>
    <s v="Plant Manager"/>
    <x v="9"/>
  </r>
  <r>
    <x v="66"/>
    <d v="2024-07-10T00:00:00"/>
    <x v="0"/>
    <x v="0"/>
    <x v="0"/>
    <x v="25"/>
    <s v="Replacement"/>
    <n v="2850000000"/>
    <n v="2780000000"/>
    <n v="12.2"/>
    <n v="90"/>
    <x v="0"/>
    <x v="0"/>
    <s v="Local Distributor"/>
    <s v="European"/>
    <n v="2"/>
    <s v="Procurement Director"/>
    <x v="10"/>
  </r>
  <r>
    <x v="67"/>
    <d v="2024-07-24T00:00:00"/>
    <x v="2"/>
    <x v="6"/>
    <x v="1"/>
    <x v="50"/>
    <s v="New Installation"/>
    <n v="7250000000"/>
    <n v="7395000000"/>
    <n v="10.5"/>
    <n v="160"/>
    <x v="1"/>
    <x v="1"/>
    <s v="International OEM"/>
    <s v="European"/>
    <n v="3"/>
    <s v="Procurement Director"/>
    <x v="10"/>
  </r>
  <r>
    <x v="68"/>
    <d v="2024-08-07T00:00:00"/>
    <x v="0"/>
    <x v="2"/>
    <x v="2"/>
    <x v="51"/>
    <s v="Upgrade"/>
    <n v="1580000000"/>
    <n v="1545000000"/>
    <n v="15"/>
    <n v="85"/>
    <x v="0"/>
    <x v="0"/>
    <s v="Local Distributor"/>
    <s v="European"/>
    <n v="2"/>
    <s v="Engineering Head"/>
    <x v="10"/>
  </r>
  <r>
    <x v="69"/>
    <d v="2024-08-21T00:00:00"/>
    <x v="1"/>
    <x v="1"/>
    <x v="3"/>
    <x v="13"/>
    <s v="Replacement"/>
    <n v="1250000000"/>
    <n v="1285000000"/>
    <n v="13.8"/>
    <n v="70"/>
    <x v="1"/>
    <x v="1"/>
    <s v="International OEM"/>
    <s v="European"/>
    <n v="2"/>
    <s v="Plant Manager"/>
    <x v="10"/>
  </r>
  <r>
    <x v="70"/>
    <d v="2024-09-04T00:00:00"/>
    <x v="0"/>
    <x v="3"/>
    <x v="1"/>
    <x v="52"/>
    <s v="New Installation"/>
    <n v="950000000"/>
    <n v="925000000"/>
    <n v="14.5"/>
    <n v="55"/>
    <x v="0"/>
    <x v="0"/>
    <s v="Local Distributor"/>
    <s v="European"/>
    <n v="1"/>
    <s v="Engineering Head"/>
    <x v="10"/>
  </r>
  <r>
    <x v="71"/>
    <d v="2024-09-18T00:00:00"/>
    <x v="2"/>
    <x v="7"/>
    <x v="0"/>
    <x v="10"/>
    <s v="Replacement"/>
    <n v="680000000"/>
    <n v="665000000"/>
    <n v="15"/>
    <n v="60"/>
    <x v="0"/>
    <x v="2"/>
    <s v="Local Distributor"/>
    <s v="European"/>
    <n v="1"/>
    <s v="Plant Manager"/>
    <x v="10"/>
  </r>
  <r>
    <x v="72"/>
    <d v="2024-10-02T00:00:00"/>
    <x v="0"/>
    <x v="4"/>
    <x v="4"/>
    <x v="53"/>
    <s v="Replacement"/>
    <n v="165000000"/>
    <n v="160000000"/>
    <n v="24"/>
    <n v="25"/>
    <x v="0"/>
    <x v="3"/>
    <s v="Local Distributor"/>
    <s v="European"/>
    <n v="1"/>
    <s v="Procurement Manager"/>
    <x v="11"/>
  </r>
  <r>
    <x v="73"/>
    <d v="2024-10-16T00:00:00"/>
    <x v="1"/>
    <x v="5"/>
    <x v="1"/>
    <x v="2"/>
    <s v="Replacement"/>
    <n v="1850000000"/>
    <n v="1810000000"/>
    <n v="13"/>
    <n v="85"/>
    <x v="0"/>
    <x v="0"/>
    <s v="Local Distributor"/>
    <s v="European"/>
    <n v="1"/>
    <s v="Engineering Head"/>
    <x v="11"/>
  </r>
  <r>
    <x v="74"/>
    <d v="2024-10-30T00:00:00"/>
    <x v="0"/>
    <x v="0"/>
    <x v="0"/>
    <x v="0"/>
    <s v="Replacement"/>
    <n v="2250000000"/>
    <n v="2310000000"/>
    <n v="12.8"/>
    <n v="85"/>
    <x v="1"/>
    <x v="1"/>
    <s v="International OEM"/>
    <s v="European"/>
    <n v="2"/>
    <s v="Plant Manager"/>
    <x v="11"/>
  </r>
  <r>
    <x v="75"/>
    <d v="2024-11-13T00:00:00"/>
    <x v="2"/>
    <x v="6"/>
    <x v="2"/>
    <x v="7"/>
    <s v="Upgrade"/>
    <n v="1450000000"/>
    <n v="1410000000"/>
    <n v="15.5"/>
    <n v="80"/>
    <x v="0"/>
    <x v="0"/>
    <s v="Local Distributor"/>
    <s v="European"/>
    <n v="2"/>
    <s v="Procurement Director"/>
    <x v="11"/>
  </r>
  <r>
    <x v="76"/>
    <d v="2024-11-27T00:00:00"/>
    <x v="0"/>
    <x v="2"/>
    <x v="3"/>
    <x v="54"/>
    <s v="Replacement"/>
    <n v="580000000"/>
    <n v="565000000"/>
    <n v="15"/>
    <n v="50"/>
    <x v="0"/>
    <x v="3"/>
    <s v="Local Distributor"/>
    <s v="European"/>
    <n v="1"/>
    <s v="Plant Manager"/>
    <x v="11"/>
  </r>
  <r>
    <x v="77"/>
    <d v="2024-12-11T00:00:00"/>
    <x v="1"/>
    <x v="1"/>
    <x v="0"/>
    <x v="35"/>
    <s v="Replacement"/>
    <n v="720000000"/>
    <n v="738000000"/>
    <n v="14.8"/>
    <n v="55"/>
    <x v="1"/>
    <x v="1"/>
    <s v="International OEM"/>
    <s v="European"/>
    <n v="2"/>
    <s v="Engineering Head"/>
    <x v="11"/>
  </r>
  <r>
    <x v="78"/>
    <d v="2024-12-23T00:00:00"/>
    <x v="0"/>
    <x v="3"/>
    <x v="1"/>
    <x v="55"/>
    <s v="New Installation"/>
    <n v="1580000000"/>
    <n v="1535000000"/>
    <n v="13"/>
    <n v="75"/>
    <x v="0"/>
    <x v="2"/>
    <s v="Local Distributor"/>
    <s v="European"/>
    <n v="1"/>
    <s v="Engineering Head"/>
    <x v="11"/>
  </r>
  <r>
    <x v="79"/>
    <d v="2025-01-15T00:00:00"/>
    <x v="0"/>
    <x v="4"/>
    <x v="0"/>
    <x v="16"/>
    <s v="Replacement"/>
    <n v="1080000000"/>
    <n v="1055000000"/>
    <n v="14.5"/>
    <n v="65"/>
    <x v="0"/>
    <x v="0"/>
    <s v="Local Distributor"/>
    <s v="European"/>
    <n v="1"/>
    <s v="Plant Manager"/>
    <x v="12"/>
  </r>
  <r>
    <x v="80"/>
    <d v="2025-01-29T00:00:00"/>
    <x v="2"/>
    <x v="3"/>
    <x v="1"/>
    <x v="6"/>
    <s v="New Installation"/>
    <n v="9250000000"/>
    <n v="9050000000"/>
    <n v="9.8000000000000007"/>
    <n v="170"/>
    <x v="0"/>
    <x v="0"/>
    <s v="Local Distributor"/>
    <s v="European"/>
    <n v="2"/>
    <s v="Procurement Director"/>
    <x v="12"/>
  </r>
  <r>
    <x v="81"/>
    <d v="2025-02-12T00:00:00"/>
    <x v="0"/>
    <x v="0"/>
    <x v="2"/>
    <x v="3"/>
    <s v="Replacement"/>
    <n v="195000000"/>
    <n v="190000000"/>
    <n v="20"/>
    <n v="30"/>
    <x v="0"/>
    <x v="3"/>
    <s v="Local Distributor"/>
    <s v="Asian"/>
    <n v="1"/>
    <s v="Engineering Head"/>
    <x v="12"/>
  </r>
  <r>
    <x v="82"/>
    <d v="2025-02-26T00:00:00"/>
    <x v="1"/>
    <x v="5"/>
    <x v="3"/>
    <x v="56"/>
    <s v="Replacement"/>
    <n v="950000000"/>
    <n v="975000000"/>
    <n v="14.5"/>
    <n v="60"/>
    <x v="1"/>
    <x v="1"/>
    <s v="International OEM"/>
    <s v="European"/>
    <n v="2"/>
    <s v="Procurement Manager"/>
    <x v="12"/>
  </r>
  <r>
    <x v="83"/>
    <d v="2025-03-12T00:00:00"/>
    <x v="0"/>
    <x v="2"/>
    <x v="1"/>
    <x v="15"/>
    <s v="Replacement"/>
    <n v="2350000000"/>
    <n v="2295000000"/>
    <n v="12.5"/>
    <n v="90"/>
    <x v="0"/>
    <x v="2"/>
    <s v="Local Distributor"/>
    <s v="European"/>
    <n v="1"/>
    <s v="Engineering Head"/>
    <x v="12"/>
  </r>
  <r>
    <x v="84"/>
    <d v="2025-03-26T00:00:00"/>
    <x v="2"/>
    <x v="6"/>
    <x v="0"/>
    <x v="10"/>
    <s v="Replacement"/>
    <n v="720000000"/>
    <n v="705000000"/>
    <n v="14.8"/>
    <n v="60"/>
    <x v="0"/>
    <x v="0"/>
    <s v="Local Distributor"/>
    <s v="European"/>
    <n v="1"/>
    <s v="Plant Manager"/>
    <x v="12"/>
  </r>
  <r>
    <x v="85"/>
    <d v="2025-04-09T00:00:00"/>
    <x v="0"/>
    <x v="3"/>
    <x v="0"/>
    <x v="0"/>
    <s v="New Installation"/>
    <n v="3450000000"/>
    <n v="3380000000"/>
    <n v="11.5"/>
    <n v="105"/>
    <x v="0"/>
    <x v="0"/>
    <s v="Local Distributor"/>
    <s v="European"/>
    <n v="2"/>
    <s v="Plant Manager"/>
    <x v="13"/>
  </r>
  <r>
    <x v="86"/>
    <d v="2025-04-23T00:00:00"/>
    <x v="1"/>
    <x v="1"/>
    <x v="1"/>
    <x v="57"/>
    <s v="New Installation"/>
    <n v="2150000000"/>
    <n v="2095000000"/>
    <n v="12"/>
    <n v="90"/>
    <x v="0"/>
    <x v="0"/>
    <s v="Local Distributor"/>
    <s v="European"/>
    <n v="1"/>
    <s v="Procurement Director"/>
    <x v="13"/>
  </r>
  <r>
    <x v="87"/>
    <d v="2025-05-07T00:00:00"/>
    <x v="0"/>
    <x v="4"/>
    <x v="2"/>
    <x v="58"/>
    <s v="Replacement"/>
    <n v="420000000"/>
    <n v="432000000"/>
    <n v="17.5"/>
    <n v="45"/>
    <x v="1"/>
    <x v="1"/>
    <s v="International OEM"/>
    <s v="European"/>
    <n v="2"/>
    <s v="Engineering Head"/>
    <x v="13"/>
  </r>
  <r>
    <x v="88"/>
    <d v="2025-05-21T00:00:00"/>
    <x v="2"/>
    <x v="7"/>
    <x v="4"/>
    <x v="59"/>
    <s v="Replacement"/>
    <n v="385000000"/>
    <n v="375000000"/>
    <n v="21.8"/>
    <n v="30"/>
    <x v="0"/>
    <x v="3"/>
    <s v="Local Distributor"/>
    <s v="European"/>
    <n v="1"/>
    <s v="Procurement Manager"/>
    <x v="13"/>
  </r>
  <r>
    <x v="89"/>
    <d v="2025-06-04T00:00:00"/>
    <x v="0"/>
    <x v="0"/>
    <x v="3"/>
    <x v="34"/>
    <s v="Upgrade"/>
    <n v="1280000000"/>
    <n v="1320000000"/>
    <n v="14.2"/>
    <n v="75"/>
    <x v="1"/>
    <x v="5"/>
    <s v="International OEM"/>
    <s v="European"/>
    <n v="3"/>
    <s v="Plant Manager"/>
    <x v="13"/>
  </r>
  <r>
    <x v="90"/>
    <d v="2025-06-18T00:00:00"/>
    <x v="1"/>
    <x v="5"/>
    <x v="0"/>
    <x v="60"/>
    <s v="Replacement"/>
    <n v="680000000"/>
    <n v="665000000"/>
    <n v="15"/>
    <n v="55"/>
    <x v="0"/>
    <x v="0"/>
    <s v="Local Distributor"/>
    <s v="European"/>
    <n v="1"/>
    <s v="Engineering Head"/>
    <x v="13"/>
  </r>
  <r>
    <x v="91"/>
    <d v="2025-07-02T00:00:00"/>
    <x v="0"/>
    <x v="2"/>
    <x v="1"/>
    <x v="61"/>
    <s v="Replacement"/>
    <n v="750000000"/>
    <n v="765000000"/>
    <n v="15.5"/>
    <n v="45"/>
    <x v="1"/>
    <x v="1"/>
    <s v="International OEM"/>
    <s v="European"/>
    <n v="2"/>
    <s v="Procurement Manager"/>
    <x v="14"/>
  </r>
  <r>
    <x v="92"/>
    <d v="2025-07-16T00:00:00"/>
    <x v="0"/>
    <x v="4"/>
    <x v="0"/>
    <x v="25"/>
    <s v="New Installation"/>
    <n v="3850000000"/>
    <n v="3760000000"/>
    <n v="11.8"/>
    <n v="115"/>
    <x v="0"/>
    <x v="2"/>
    <s v="Local Distributor"/>
    <s v="European"/>
    <n v="2"/>
    <s v="Procurement Director"/>
    <x v="14"/>
  </r>
  <r>
    <x v="93"/>
    <d v="2025-07-30T00:00:00"/>
    <x v="2"/>
    <x v="3"/>
    <x v="1"/>
    <x v="26"/>
    <s v="Replacement"/>
    <n v="5950000000"/>
    <n v="5840000000"/>
    <n v="10.5"/>
    <n v="140"/>
    <x v="0"/>
    <x v="0"/>
    <s v="Local Distributor"/>
    <s v="European"/>
    <n v="2"/>
    <s v="Plant Manager"/>
    <x v="14"/>
  </r>
  <r>
    <x v="94"/>
    <d v="2025-08-13T00:00:00"/>
    <x v="0"/>
    <x v="0"/>
    <x v="2"/>
    <x v="62"/>
    <s v="Replacement"/>
    <n v="1850000000"/>
    <n v="1810000000"/>
    <n v="15.2"/>
    <n v="85"/>
    <x v="0"/>
    <x v="0"/>
    <s v="Local Distributor"/>
    <s v="European"/>
    <n v="2"/>
    <s v="Engineering Head"/>
    <x v="14"/>
  </r>
  <r>
    <x v="95"/>
    <d v="2025-08-27T00:00:00"/>
    <x v="1"/>
    <x v="1"/>
    <x v="3"/>
    <x v="63"/>
    <s v="Replacement"/>
    <n v="1080000000"/>
    <n v="1115000000"/>
    <n v="13.5"/>
    <n v="70"/>
    <x v="1"/>
    <x v="1"/>
    <s v="International OEM"/>
    <s v="European"/>
    <n v="2"/>
    <s v="Plant Manager"/>
    <x v="14"/>
  </r>
  <r>
    <x v="96"/>
    <d v="2025-09-10T00:00:00"/>
    <x v="0"/>
    <x v="3"/>
    <x v="1"/>
    <x v="29"/>
    <s v="Replacement"/>
    <n v="1450000000"/>
    <n v="1410000000"/>
    <n v="13"/>
    <n v="80"/>
    <x v="0"/>
    <x v="0"/>
    <s v="Local Distributor"/>
    <s v="European"/>
    <n v="1"/>
    <s v="Engineering Head"/>
    <x v="14"/>
  </r>
  <r>
    <x v="97"/>
    <d v="2025-09-24T00:00:00"/>
    <x v="2"/>
    <x v="6"/>
    <x v="0"/>
    <x v="30"/>
    <s v="Replacement"/>
    <n v="820000000"/>
    <n v="805000000"/>
    <n v="14.5"/>
    <n v="60"/>
    <x v="0"/>
    <x v="2"/>
    <s v="Local Distributor"/>
    <s v="European"/>
    <n v="1"/>
    <s v="Plant Manager"/>
    <x v="14"/>
  </r>
  <r>
    <x v="98"/>
    <d v="2025-10-08T00:00:00"/>
    <x v="0"/>
    <x v="2"/>
    <x v="4"/>
    <x v="24"/>
    <s v="Replacement"/>
    <n v="225000000"/>
    <n v="218000000"/>
    <n v="23"/>
    <n v="30"/>
    <x v="0"/>
    <x v="3"/>
    <s v="Local Distributor"/>
    <s v="European"/>
    <n v="1"/>
    <s v="Procurement Manager"/>
    <x v="15"/>
  </r>
  <r>
    <x v="99"/>
    <d v="2025-10-22T00:00:00"/>
    <x v="1"/>
    <x v="5"/>
    <x v="0"/>
    <x v="64"/>
    <s v="Replacement"/>
    <n v="920000000"/>
    <n v="900000000"/>
    <n v="15"/>
    <n v="55"/>
    <x v="0"/>
    <x v="0"/>
    <s v="Local Distributor"/>
    <s v="European"/>
    <n v="1"/>
    <s v="Engineering Head"/>
    <x v="15"/>
  </r>
  <r>
    <x v="100"/>
    <d v="2025-11-05T00:00:00"/>
    <x v="0"/>
    <x v="4"/>
    <x v="1"/>
    <x v="31"/>
    <s v="New Installation"/>
    <n v="1850000000"/>
    <n v="1810000000"/>
    <n v="12.8"/>
    <n v="85"/>
    <x v="0"/>
    <x v="0"/>
    <s v="Local Distributor"/>
    <s v="European"/>
    <n v="2"/>
    <s v="Procurement Director"/>
    <x v="15"/>
  </r>
  <r>
    <x v="101"/>
    <d v="2025-11-19T00:00:00"/>
    <x v="2"/>
    <x v="7"/>
    <x v="2"/>
    <x v="65"/>
    <s v="Replacement"/>
    <n v="1180000000"/>
    <n v="1215000000"/>
    <n v="15"/>
    <n v="75"/>
    <x v="1"/>
    <x v="1"/>
    <s v="International OEM"/>
    <s v="European"/>
    <n v="2"/>
    <s v="Engineering Head"/>
    <x v="15"/>
  </r>
  <r>
    <x v="102"/>
    <d v="2025-12-03T00:00:00"/>
    <x v="0"/>
    <x v="0"/>
    <x v="3"/>
    <x v="42"/>
    <s v="Replacement"/>
    <n v="650000000"/>
    <n v="635000000"/>
    <n v="15.2"/>
    <n v="55"/>
    <x v="0"/>
    <x v="2"/>
    <s v="Local Distributor"/>
    <s v="European"/>
    <n v="1"/>
    <s v="Plant Manager"/>
    <x v="15"/>
  </r>
  <r>
    <x v="103"/>
    <d v="2025-12-17T00:00:00"/>
    <x v="0"/>
    <x v="3"/>
    <x v="0"/>
    <x v="0"/>
    <s v="Replacement"/>
    <n v="2650000000"/>
    <n v="2585000000"/>
    <n v="12.5"/>
    <n v="95"/>
    <x v="0"/>
    <x v="0"/>
    <s v="Local Distributor"/>
    <s v="European"/>
    <n v="1"/>
    <s v="Plant Manager"/>
    <x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D62A6D-3248-4FD6-A755-85691D3FBCD4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5:D145" firstHeaderRow="1" firstDataRow="2" firstDataCol="1"/>
  <pivotFields count="18">
    <pivotField dataField="1" showAll="0"/>
    <pivotField numFmtId="164" showAll="0"/>
    <pivotField showAll="0"/>
    <pivotField axis="axisRow" showAll="0">
      <items count="9">
        <item x="4"/>
        <item x="2"/>
        <item x="5"/>
        <item x="6"/>
        <item x="0"/>
        <item x="1"/>
        <item x="3"/>
        <item x="7"/>
        <item t="default"/>
      </items>
    </pivotField>
    <pivotField showAll="0"/>
    <pivotField showAll="0"/>
    <pivotField showAll="0"/>
    <pivotField numFmtId="165" showAll="0"/>
    <pivotField numFmtId="165" showAll="0"/>
    <pivotField numFmtId="166"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Count of Ten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D5986E-177B-463A-98D6-C0F34430395F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A95:C106" firstHeaderRow="0" firstDataRow="1" firstDataCol="1" rowPageCount="2" colPageCount="1"/>
  <pivotFields count="18">
    <pivotField dataField="1" showAll="0"/>
    <pivotField numFmtId="164" showAll="0"/>
    <pivotField showAll="0"/>
    <pivotField showAll="0"/>
    <pivotField axis="axisPage" multipleItemSelectionAllowed="1" showAll="0">
      <items count="6">
        <item h="1" x="2"/>
        <item x="3"/>
        <item h="1" x="1"/>
        <item h="1" x="0"/>
        <item h="1" x="4"/>
        <item t="default"/>
      </items>
    </pivotField>
    <pivotField axis="axisRow" showAll="0">
      <items count="67">
        <item x="11"/>
        <item x="53"/>
        <item x="0"/>
        <item x="60"/>
        <item x="41"/>
        <item x="23"/>
        <item x="24"/>
        <item x="65"/>
        <item x="44"/>
        <item x="7"/>
        <item x="58"/>
        <item x="32"/>
        <item x="20"/>
        <item x="54"/>
        <item x="42"/>
        <item sd="0" x="4"/>
        <item x="34"/>
        <item x="31"/>
        <item x="57"/>
        <item x="5"/>
        <item x="18"/>
        <item x="49"/>
        <item x="43"/>
        <item x="55"/>
        <item x="47"/>
        <item x="14"/>
        <item x="21"/>
        <item x="10"/>
        <item x="30"/>
        <item x="12"/>
        <item x="1"/>
        <item x="26"/>
        <item x="50"/>
        <item x="6"/>
        <item x="48"/>
        <item x="59"/>
        <item x="17"/>
        <item x="9"/>
        <item x="22"/>
        <item x="45"/>
        <item x="36"/>
        <item x="61"/>
        <item x="52"/>
        <item x="63"/>
        <item x="13"/>
        <item x="38"/>
        <item x="37"/>
        <item x="3"/>
        <item x="64"/>
        <item x="35"/>
        <item x="56"/>
        <item x="28"/>
        <item x="8"/>
        <item x="62"/>
        <item x="51"/>
        <item x="19"/>
        <item x="40"/>
        <item x="27"/>
        <item x="29"/>
        <item x="2"/>
        <item x="15"/>
        <item x="46"/>
        <item x="33"/>
        <item x="16"/>
        <item x="25"/>
        <item x="39"/>
        <item t="default"/>
      </items>
    </pivotField>
    <pivotField showAll="0"/>
    <pivotField dataField="1" numFmtId="165" showAll="0"/>
    <pivotField numFmtId="165" showAll="0"/>
    <pivotField numFmtId="166" showAll="0"/>
    <pivotField showAll="0"/>
    <pivotField axis="axisPage" multipleItemSelectionAllowed="1" showAll="0">
      <items count="3">
        <item x="1"/>
        <item h="1" x="0"/>
        <item t="default"/>
      </items>
    </pivotField>
    <pivotField axis="axisRow" showAll="0">
      <items count="7">
        <item sd="0" x="0"/>
        <item sd="0" x="2"/>
        <item sd="0" x="3"/>
        <item x="1"/>
        <item x="5"/>
        <item x="4"/>
        <item t="default"/>
      </items>
    </pivotField>
    <pivotField showAll="0"/>
    <pivotField showAll="0"/>
    <pivotField showAll="0"/>
    <pivotField showAll="0"/>
    <pivotField showAll="0"/>
  </pivotFields>
  <rowFields count="2">
    <field x="12"/>
    <field x="5"/>
  </rowFields>
  <rowItems count="11">
    <i>
      <x v="3"/>
    </i>
    <i r="1">
      <x v="43"/>
    </i>
    <i r="1">
      <x v="44"/>
    </i>
    <i r="1">
      <x v="50"/>
    </i>
    <i r="1">
      <x v="51"/>
    </i>
    <i>
      <x v="4"/>
    </i>
    <i r="1">
      <x v="15"/>
    </i>
    <i r="1">
      <x v="16"/>
    </i>
    <i>
      <x v="5"/>
    </i>
    <i r="1">
      <x v="15"/>
    </i>
    <i t="grand">
      <x/>
    </i>
  </rowItems>
  <colFields count="1">
    <field x="-2"/>
  </colFields>
  <colItems count="2">
    <i>
      <x/>
    </i>
    <i i="1">
      <x v="1"/>
    </i>
  </colItems>
  <pageFields count="2">
    <pageField fld="4" hier="-1"/>
    <pageField fld="11" hier="-1"/>
  </pageFields>
  <dataFields count="2">
    <dataField name="Total Loss" fld="0" subtotal="count" baseField="0" baseItem="0"/>
    <dataField name="Tender Value" fld="7" baseField="0" baseItem="0" numFmtId="165"/>
  </dataFields>
  <formats count="3">
    <format dxfId="18">
      <pivotArea dataOnly="0" labelOnly="1" outline="0" axis="axisValues" fieldPosition="0"/>
    </format>
    <format dxfId="17">
      <pivotArea field="12" type="button" dataOnly="0" labelOnly="1" outline="0" axis="axisRow" fieldPosition="0"/>
    </format>
    <format dxfId="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2F0F4C-0229-4668-9F5C-4194486AF99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Industry">
  <location ref="A1:D6" firstHeaderRow="1" firstDataRow="2" firstDataCol="1"/>
  <pivotFields count="18">
    <pivotField dataField="1" showAll="0"/>
    <pivotField numFmtId="164" showAll="0"/>
    <pivotField name="Industry"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numFmtId="165" showAll="0"/>
    <pivotField numFmtId="165" showAll="0"/>
    <pivotField numFmtId="166"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Total Tender" fld="0" subtotal="count" baseField="2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11" count="1" selected="0">
            <x v="1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1" count="1" selected="0">
            <x v="1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2B811E-0581-4D3C-9EB9-FA22761CD367}" name="PivotTable1" cacheId="0" dataPosition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5:G33" firstHeaderRow="1" firstDataRow="3" firstDataCol="1"/>
  <pivotFields count="18">
    <pivotField dataField="1" showAll="0"/>
    <pivotField numFmtId="164" showAll="0"/>
    <pivotField showAll="0"/>
    <pivotField showAll="0"/>
    <pivotField axis="axisRow" showAll="0">
      <items count="6">
        <item x="2"/>
        <item x="3"/>
        <item x="1"/>
        <item x="0"/>
        <item x="4"/>
        <item t="default"/>
      </items>
    </pivotField>
    <pivotField showAll="0"/>
    <pivotField showAll="0"/>
    <pivotField dataField="1" numFmtId="165" showAll="0"/>
    <pivotField numFmtId="165" showAll="0"/>
    <pivotField numFmtId="166"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-2"/>
    <field x="11"/>
  </colFields>
  <colItems count="6">
    <i>
      <x/>
      <x/>
    </i>
    <i r="1">
      <x v="1"/>
    </i>
    <i i="1">
      <x v="1"/>
      <x/>
    </i>
    <i r="1" i="1">
      <x v="1"/>
    </i>
    <i t="grand">
      <x/>
    </i>
    <i t="grand" i="1">
      <x/>
    </i>
  </colItems>
  <dataFields count="2">
    <dataField name="Count of Tender" fld="0" subtotal="count" baseField="4" baseItem="0"/>
    <dataField name="Sum of Tender_Value" fld="7" baseField="4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A5054F-4C5C-41D2-A54F-D7EB1F58E2D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ason">
  <location ref="A61:B65" firstHeaderRow="1" firstDataRow="1" firstDataCol="1" rowPageCount="1" colPageCount="1"/>
  <pivotFields count="18">
    <pivotField dataField="1" showAll="0"/>
    <pivotField numFmtId="164"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6" showAll="0"/>
    <pivotField showAll="0"/>
    <pivotField axis="axisPage" multipleItemSelectionAllowed="1" showAll="0">
      <items count="3">
        <item x="1"/>
        <item h="1" x="0"/>
        <item t="default"/>
      </items>
    </pivotField>
    <pivotField axis="axisRow" showAll="0">
      <items count="7">
        <item x="0"/>
        <item x="2"/>
        <item x="3"/>
        <item x="1"/>
        <item x="5"/>
        <item x="4"/>
        <item t="default"/>
      </items>
    </pivotField>
    <pivotField showAll="0"/>
    <pivotField showAll="0"/>
    <pivotField showAll="0"/>
    <pivotField showAll="0"/>
    <pivotField showAll="0"/>
  </pivotFields>
  <rowFields count="1">
    <field x="12"/>
  </rowFields>
  <rowItems count="4">
    <i>
      <x v="3"/>
    </i>
    <i>
      <x v="4"/>
    </i>
    <i>
      <x v="5"/>
    </i>
    <i t="grand">
      <x/>
    </i>
  </rowItems>
  <colItems count="1">
    <i/>
  </colItems>
  <pageFields count="1">
    <pageField fld="11" hier="-1"/>
  </pageFields>
  <dataFields count="1">
    <dataField name="Total Tender" fld="0" subtotal="count" baseField="0" baseItem="0"/>
  </dataFields>
  <formats count="2">
    <format dxfId="20">
      <pivotArea field="12" type="button" dataOnly="0" labelOnly="1" outline="0" axis="axisRow" fieldPosition="0"/>
    </format>
    <format dxfId="1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2DFEEE-481C-45A6-AB91-47EE192DF29D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>
  <location ref="A148:E158" firstHeaderRow="1" firstDataRow="2" firstDataCol="1"/>
  <pivotFields count="18">
    <pivotField dataField="1" showAll="0"/>
    <pivotField numFmtId="164" showAll="0"/>
    <pivotField axis="axisCol" showAll="0">
      <items count="4">
        <item x="2"/>
        <item x="1"/>
        <item x="0"/>
        <item t="default"/>
      </items>
    </pivotField>
    <pivotField axis="axisRow" showAll="0">
      <items count="9">
        <item x="4"/>
        <item x="2"/>
        <item x="5"/>
        <item x="6"/>
        <item x="0"/>
        <item x="1"/>
        <item x="3"/>
        <item x="7"/>
        <item t="default"/>
      </items>
    </pivotField>
    <pivotField showAll="0"/>
    <pivotField showAll="0"/>
    <pivotField showAll="0"/>
    <pivotField numFmtId="165" showAll="0"/>
    <pivotField numFmtId="165"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Total Tender" fld="0" subtotal="count" baseField="0" baseItem="0"/>
  </dataFields>
  <conditionalFormats count="1"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3" selected="0">
              <x v="0"/>
              <x v="1"/>
              <x v="2"/>
            </reference>
            <reference field="3" count="8">
              <x v="0"/>
              <x v="1"/>
              <x v="2"/>
              <x v="3"/>
              <x v="4"/>
              <x v="5"/>
              <x v="6"/>
              <x v="7"/>
            </reference>
          </references>
        </pivotArea>
      </pivotAreas>
    </conditionalFormat>
  </conditionalFormats>
  <chartFormats count="6">
    <chartFormat chart="17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7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7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4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4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4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9C2D3C-DB24-4C38-87AC-1F0AD7B8B558}" name="PivotTable4" cacheId="0" applyNumberFormats="0" applyBorderFormats="0" applyFontFormats="0" applyPatternFormats="0" applyAlignmentFormats="0" applyWidthHeightFormats="1" dataCaption="Values" grandTotalCaption="Total Loss" updatedVersion="8" minRefreshableVersion="3" useAutoFormatting="1" itemPrintTitles="1" createdVersion="8" indent="0" outline="1" outlineData="1" multipleFieldFilters="0" rowHeaderCaption="Industry">
  <location ref="A84:E89" firstHeaderRow="1" firstDataRow="2" firstDataCol="1" rowPageCount="1" colPageCount="1"/>
  <pivotFields count="18">
    <pivotField dataField="1" showAll="0"/>
    <pivotField numFmtId="164"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numFmtId="165" showAll="0"/>
    <pivotField numFmtId="165" showAll="0"/>
    <pivotField numFmtId="166" showAll="0"/>
    <pivotField showAll="0"/>
    <pivotField axis="axisPage" multipleItemSelectionAllowed="1" showAll="0">
      <items count="3">
        <item x="1"/>
        <item h="1" x="0"/>
        <item t="default"/>
      </items>
    </pivotField>
    <pivotField axis="axisCol" showAll="0">
      <items count="7">
        <item x="0"/>
        <item x="2"/>
        <item x="3"/>
        <item x="1"/>
        <item x="5"/>
        <item x="4"/>
        <item t="default"/>
      </items>
    </pivotField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12"/>
  </colFields>
  <colItems count="4">
    <i>
      <x v="3"/>
    </i>
    <i>
      <x v="4"/>
    </i>
    <i>
      <x v="5"/>
    </i>
    <i t="grand">
      <x/>
    </i>
  </colItems>
  <pageFields count="1">
    <pageField fld="11" hier="-1"/>
  </pageFields>
  <dataFields count="1">
    <dataField name="Count of Tender_ID" fld="0" subtotal="count" baseField="0" baseItem="0"/>
  </dataFields>
  <formats count="4">
    <format dxfId="24">
      <pivotArea dataOnly="0" labelOnly="1" fieldPosition="0">
        <references count="1">
          <reference field="12" count="1">
            <x v="3"/>
          </reference>
        </references>
      </pivotArea>
    </format>
    <format dxfId="23">
      <pivotArea dataOnly="0" labelOnly="1" fieldPosition="0">
        <references count="1">
          <reference field="12" count="2">
            <x v="4"/>
            <x v="5"/>
          </reference>
        </references>
      </pivotArea>
    </format>
    <format dxfId="22">
      <pivotArea dataOnly="0" labelOnly="1" grandCol="1" outline="0" fieldPosition="0"/>
    </format>
    <format dxfId="21">
      <pivotArea field="2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D94CAB-E04D-4D20-84C2-EC5521979485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1:D129" firstHeaderRow="1" firstDataRow="2" firstDataCol="1"/>
  <pivotFields count="18">
    <pivotField dataField="1" showAll="0"/>
    <pivotField numFmtId="164"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6"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7">
        <item x="0"/>
        <item x="4"/>
        <item x="8"/>
        <item x="12"/>
        <item x="1"/>
        <item x="5"/>
        <item x="9"/>
        <item x="13"/>
        <item x="2"/>
        <item x="6"/>
        <item x="10"/>
        <item x="14"/>
        <item x="3"/>
        <item x="7"/>
        <item x="11"/>
        <item x="15"/>
        <item t="default"/>
      </items>
    </pivotField>
  </pivotFields>
  <rowFields count="1">
    <field x="17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Count of Ten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0EAE86-99C1-4D29-A9D8-D2ED3D059762}" name="tblTender" displayName="tblTender" ref="A1:T105">
  <autoFilter ref="A1:T105" xr:uid="{BB0EAE86-99C1-4D29-A9D8-D2ED3D059762}"/>
  <tableColumns count="20">
    <tableColumn id="1" xr3:uid="{69188157-6A2C-491C-BDEF-CB2976E7E4B8}" name="Tender_ID" totalsRowLabel="Total"/>
    <tableColumn id="2" xr3:uid="{0A6678E3-0E35-47E7-BDA7-AB73339DA7CD}" name="Submission_Date" dataDxfId="15" totalsRowDxfId="14"/>
    <tableColumn id="3" xr3:uid="{580F4385-1211-4472-A69A-27EDA9A1D7B2}" name="Client_Industry"/>
    <tableColumn id="4" xr3:uid="{92FFE5EA-6040-49DB-9727-344B5801A8E3}" name="Client_Region"/>
    <tableColumn id="5" xr3:uid="{9B85E546-6482-410B-A99A-9D1F90426DC3}" name="Equipment_Category"/>
    <tableColumn id="6" xr3:uid="{3941837B-3DC8-4A99-A559-FD8A3599D86D}" name="Equipment_Type"/>
    <tableColumn id="7" xr3:uid="{ADD1C79B-B1A7-48B3-B80A-B77D421779A2}" name="Project_Type"/>
    <tableColumn id="8" xr3:uid="{83189F4A-61F7-4502-94BC-3B71B173669B}" name="Tender_Value_IDR" dataDxfId="13"/>
    <tableColumn id="9" xr3:uid="{96B828F2-E393-4D86-8F64-B68A815D92D6}" name="Our_Bid_IDR" dataDxfId="12"/>
    <tableColumn id="10" xr3:uid="{A5368734-5EEA-42DB-8C49-7A6C67852850}" name="Bid_Margin_Pct" dataDxfId="11" totalsRowDxfId="10" dataCellStyle="Comma [0]"/>
    <tableColumn id="11" xr3:uid="{C40BD95D-89AA-4F00-9CF1-5C9CCC484C6C}" name="Lead_Time_Days" dataDxfId="9" totalsRowDxfId="8"/>
    <tableColumn id="12" xr3:uid="{E1926E1C-F978-4B80-A343-E3341D7CA059}" name="Status" dataDxfId="7" totalsRowDxfId="6"/>
    <tableColumn id="19" xr3:uid="{48D867D7-DE60-4229-8571-255129B81A2D}" name="Is_Win" dataDxfId="5" totalsRowDxfId="4">
      <calculatedColumnFormula>IF(tblTender[[#This Row],[Status]]="Win",1,0)</calculatedColumnFormula>
    </tableColumn>
    <tableColumn id="20" xr3:uid="{0F26ED22-7F7D-4ADD-9DD0-395D05950F3B}" name="Is_Loss" dataDxfId="3" totalsRowDxfId="2">
      <calculatedColumnFormula>IF(tblTender[[#This Row],[Status]]="Loss",1,0)</calculatedColumnFormula>
    </tableColumn>
    <tableColumn id="13" xr3:uid="{49A9BEC7-072A-4CBA-BD23-E3A9CE63E906}" name="Win_Loss_Reason"/>
    <tableColumn id="14" xr3:uid="{C3EFCBF3-0268-49B5-8824-91B0C4F24EBB}" name="Competitor_Type"/>
    <tableColumn id="15" xr3:uid="{E6B24CC0-66C7-4069-98F1-5C5E1A9562CF}" name="Principal_Origin"/>
    <tableColumn id="16" xr3:uid="{6EDE2ED4-F4A9-4F39-8367-22D0315B019E}" name="Quotation_Revisions" dataDxfId="1" totalsRowDxfId="0"/>
    <tableColumn id="17" xr3:uid="{3A144B80-CF30-486C-B1F0-5B7ECF7EA58D}" name="Decision_Maker_Level"/>
    <tableColumn id="18" xr3:uid="{9DE454D7-5681-4F34-91C8-55CAA0D1F490}" name="Tender_Quarter" totalsRowFunction="count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9F60AE8-4327-4BB4-9C3F-5F988D0759B1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bfdd86dc-7beb-41fc-a059-8c841ee0194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D454B-DC4D-425D-8E36-D3EFF8F0C24A}">
  <dimension ref="A1:T105"/>
  <sheetViews>
    <sheetView view="pageBreakPreview" topLeftCell="A2" zoomScale="115" zoomScaleNormal="100" zoomScaleSheetLayoutView="115" workbookViewId="0">
      <selection activeCell="A2" sqref="A2"/>
    </sheetView>
  </sheetViews>
  <sheetFormatPr defaultRowHeight="15" x14ac:dyDescent="0.25"/>
  <cols>
    <col min="1" max="1" width="18.28515625" bestFit="1" customWidth="1"/>
    <col min="2" max="2" width="27.5703125" bestFit="1" customWidth="1"/>
    <col min="3" max="3" width="24.140625" bestFit="1" customWidth="1"/>
    <col min="4" max="4" width="23.28515625" bestFit="1" customWidth="1"/>
    <col min="5" max="5" width="31.5703125" bestFit="1" customWidth="1"/>
    <col min="6" max="6" width="32" bestFit="1" customWidth="1"/>
    <col min="7" max="7" width="22.28515625" bestFit="1" customWidth="1"/>
    <col min="8" max="8" width="28.7109375" bestFit="1" customWidth="1"/>
    <col min="9" max="9" width="21.85546875" bestFit="1" customWidth="1"/>
    <col min="10" max="11" width="16.5703125" customWidth="1"/>
    <col min="12" max="14" width="18" customWidth="1"/>
    <col min="15" max="15" width="8.85546875" customWidth="1"/>
    <col min="16" max="16" width="28.7109375" bestFit="1" customWidth="1"/>
    <col min="17" max="17" width="27.28515625" bestFit="1" customWidth="1"/>
    <col min="18" max="18" width="25.5703125" bestFit="1" customWidth="1"/>
    <col min="19" max="19" width="32.28515625" bestFit="1" customWidth="1"/>
    <col min="20" max="20" width="34.140625" bestFit="1" customWidth="1"/>
    <col min="21" max="21" width="25.140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251</v>
      </c>
      <c r="N1" t="s">
        <v>252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</row>
    <row r="2" spans="1:20" x14ac:dyDescent="0.25">
      <c r="A2" t="s">
        <v>18</v>
      </c>
      <c r="B2" s="1">
        <v>44576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s="2">
        <v>2850000000</v>
      </c>
      <c r="I2" s="2">
        <v>2750000000</v>
      </c>
      <c r="J2" s="5">
        <v>12.5</v>
      </c>
      <c r="K2" s="3">
        <v>90</v>
      </c>
      <c r="L2" s="3" t="s">
        <v>24</v>
      </c>
      <c r="M2" s="3">
        <f>IF(tblTender[[#This Row],[Status]]="Win",1,0)</f>
        <v>1</v>
      </c>
      <c r="N2" s="3">
        <f>IF(tblTender[[#This Row],[Status]]="Loss",1,0)</f>
        <v>0</v>
      </c>
      <c r="O2" t="s">
        <v>25</v>
      </c>
      <c r="P2" t="s">
        <v>26</v>
      </c>
      <c r="Q2" t="s">
        <v>27</v>
      </c>
      <c r="R2" s="3">
        <v>2</v>
      </c>
      <c r="S2" t="s">
        <v>28</v>
      </c>
      <c r="T2" t="s">
        <v>29</v>
      </c>
    </row>
    <row r="3" spans="1:20" x14ac:dyDescent="0.25">
      <c r="A3" t="s">
        <v>30</v>
      </c>
      <c r="B3" s="1">
        <v>44589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s="2">
        <v>4200000000</v>
      </c>
      <c r="I3" s="2">
        <v>4150000000</v>
      </c>
      <c r="J3" s="5">
        <v>11.2</v>
      </c>
      <c r="K3" s="3">
        <v>120</v>
      </c>
      <c r="L3" s="3" t="s">
        <v>36</v>
      </c>
      <c r="M3" s="3">
        <f>IF(tblTender[[#This Row],[Status]]="Win",1,0)</f>
        <v>0</v>
      </c>
      <c r="N3" s="3">
        <f>IF(tblTender[[#This Row],[Status]]="Loss",1,0)</f>
        <v>1</v>
      </c>
      <c r="O3" t="s">
        <v>37</v>
      </c>
      <c r="P3" t="s">
        <v>38</v>
      </c>
      <c r="Q3" t="s">
        <v>27</v>
      </c>
      <c r="R3" s="3">
        <v>1</v>
      </c>
      <c r="S3" t="s">
        <v>39</v>
      </c>
      <c r="T3" t="s">
        <v>29</v>
      </c>
    </row>
    <row r="4" spans="1:20" x14ac:dyDescent="0.25">
      <c r="A4" t="s">
        <v>40</v>
      </c>
      <c r="B4" s="1">
        <v>44602</v>
      </c>
      <c r="C4" t="s">
        <v>19</v>
      </c>
      <c r="D4" t="s">
        <v>41</v>
      </c>
      <c r="E4" t="s">
        <v>33</v>
      </c>
      <c r="F4" t="s">
        <v>42</v>
      </c>
      <c r="G4" t="s">
        <v>23</v>
      </c>
      <c r="H4" s="2">
        <v>1850000000</v>
      </c>
      <c r="I4" s="2">
        <v>1780000000</v>
      </c>
      <c r="J4" s="5">
        <v>15.8</v>
      </c>
      <c r="K4" s="3">
        <v>75</v>
      </c>
      <c r="L4" s="3" t="s">
        <v>24</v>
      </c>
      <c r="M4" s="3">
        <f>IF(tblTender[[#This Row],[Status]]="Win",1,0)</f>
        <v>1</v>
      </c>
      <c r="N4" s="3">
        <f>IF(tblTender[[#This Row],[Status]]="Loss",1,0)</f>
        <v>0</v>
      </c>
      <c r="O4" t="s">
        <v>43</v>
      </c>
      <c r="P4" t="s">
        <v>26</v>
      </c>
      <c r="Q4" t="s">
        <v>44</v>
      </c>
      <c r="R4" s="3">
        <v>1</v>
      </c>
      <c r="S4" t="s">
        <v>45</v>
      </c>
      <c r="T4" t="s">
        <v>29</v>
      </c>
    </row>
    <row r="5" spans="1:20" x14ac:dyDescent="0.25">
      <c r="A5" t="s">
        <v>46</v>
      </c>
      <c r="B5" s="1">
        <v>44614</v>
      </c>
      <c r="C5" t="s">
        <v>47</v>
      </c>
      <c r="D5" t="s">
        <v>48</v>
      </c>
      <c r="E5" t="s">
        <v>49</v>
      </c>
      <c r="F5" t="s">
        <v>50</v>
      </c>
      <c r="G5" t="s">
        <v>35</v>
      </c>
      <c r="H5" s="2">
        <v>425000000</v>
      </c>
      <c r="I5" s="2">
        <v>418000000</v>
      </c>
      <c r="J5" s="5">
        <v>18.3</v>
      </c>
      <c r="K5" s="3">
        <v>45</v>
      </c>
      <c r="L5" s="3" t="s">
        <v>24</v>
      </c>
      <c r="M5" s="3">
        <f>IF(tblTender[[#This Row],[Status]]="Win",1,0)</f>
        <v>1</v>
      </c>
      <c r="N5" s="3">
        <f>IF(tblTender[[#This Row],[Status]]="Loss",1,0)</f>
        <v>0</v>
      </c>
      <c r="O5" t="s">
        <v>51</v>
      </c>
      <c r="P5" t="s">
        <v>26</v>
      </c>
      <c r="Q5" t="s">
        <v>27</v>
      </c>
      <c r="R5" s="3">
        <v>2</v>
      </c>
      <c r="S5" t="s">
        <v>52</v>
      </c>
      <c r="T5" t="s">
        <v>29</v>
      </c>
    </row>
    <row r="6" spans="1:20" x14ac:dyDescent="0.25">
      <c r="A6" t="s">
        <v>53</v>
      </c>
      <c r="B6" s="1">
        <v>44625</v>
      </c>
      <c r="C6" t="s">
        <v>19</v>
      </c>
      <c r="D6" t="s">
        <v>54</v>
      </c>
      <c r="E6" t="s">
        <v>55</v>
      </c>
      <c r="F6" t="s">
        <v>56</v>
      </c>
      <c r="G6" t="s">
        <v>57</v>
      </c>
      <c r="H6" s="2">
        <v>1250000000</v>
      </c>
      <c r="I6" s="2">
        <v>1295000000</v>
      </c>
      <c r="J6" s="5">
        <v>14.5</v>
      </c>
      <c r="K6" s="3">
        <v>60</v>
      </c>
      <c r="L6" s="3" t="s">
        <v>36</v>
      </c>
      <c r="M6" s="3">
        <f>IF(tblTender[[#This Row],[Status]]="Win",1,0)</f>
        <v>0</v>
      </c>
      <c r="N6" s="3">
        <f>IF(tblTender[[#This Row],[Status]]="Loss",1,0)</f>
        <v>1</v>
      </c>
      <c r="O6" t="s">
        <v>58</v>
      </c>
      <c r="P6" t="s">
        <v>38</v>
      </c>
      <c r="Q6" t="s">
        <v>27</v>
      </c>
      <c r="R6" s="3">
        <v>3</v>
      </c>
      <c r="S6" t="s">
        <v>28</v>
      </c>
      <c r="T6" t="s">
        <v>29</v>
      </c>
    </row>
    <row r="7" spans="1:20" x14ac:dyDescent="0.25">
      <c r="A7" t="s">
        <v>59</v>
      </c>
      <c r="B7" s="1">
        <v>44638</v>
      </c>
      <c r="C7" t="s">
        <v>31</v>
      </c>
      <c r="D7" t="s">
        <v>60</v>
      </c>
      <c r="E7" t="s">
        <v>33</v>
      </c>
      <c r="F7" t="s">
        <v>61</v>
      </c>
      <c r="G7" t="s">
        <v>35</v>
      </c>
      <c r="H7" s="2">
        <v>680000000</v>
      </c>
      <c r="I7" s="2">
        <v>665000000</v>
      </c>
      <c r="J7" s="5">
        <v>13.2</v>
      </c>
      <c r="K7" s="3">
        <v>50</v>
      </c>
      <c r="L7" s="3" t="s">
        <v>24</v>
      </c>
      <c r="M7" s="3">
        <f>IF(tblTender[[#This Row],[Status]]="Win",1,0)</f>
        <v>1</v>
      </c>
      <c r="N7" s="3">
        <f>IF(tblTender[[#This Row],[Status]]="Loss",1,0)</f>
        <v>0</v>
      </c>
      <c r="O7" t="s">
        <v>25</v>
      </c>
      <c r="P7" t="s">
        <v>26</v>
      </c>
      <c r="Q7" t="s">
        <v>27</v>
      </c>
      <c r="R7" s="3">
        <v>1</v>
      </c>
      <c r="S7" t="s">
        <v>45</v>
      </c>
      <c r="T7" t="s">
        <v>29</v>
      </c>
    </row>
    <row r="8" spans="1:20" x14ac:dyDescent="0.25">
      <c r="A8" t="s">
        <v>62</v>
      </c>
      <c r="B8" s="1">
        <v>44653</v>
      </c>
      <c r="C8" t="s">
        <v>19</v>
      </c>
      <c r="D8" t="s">
        <v>20</v>
      </c>
      <c r="E8" t="s">
        <v>21</v>
      </c>
      <c r="F8" t="s">
        <v>22</v>
      </c>
      <c r="G8" t="s">
        <v>23</v>
      </c>
      <c r="H8" s="2">
        <v>3100000000</v>
      </c>
      <c r="I8" s="2">
        <v>3050000000</v>
      </c>
      <c r="J8" s="5">
        <v>11.8</v>
      </c>
      <c r="K8" s="3">
        <v>95</v>
      </c>
      <c r="L8" s="3" t="s">
        <v>36</v>
      </c>
      <c r="M8" s="3">
        <f>IF(tblTender[[#This Row],[Status]]="Win",1,0)</f>
        <v>0</v>
      </c>
      <c r="N8" s="3">
        <f>IF(tblTender[[#This Row],[Status]]="Loss",1,0)</f>
        <v>1</v>
      </c>
      <c r="O8" t="s">
        <v>37</v>
      </c>
      <c r="P8" t="s">
        <v>38</v>
      </c>
      <c r="Q8" t="s">
        <v>27</v>
      </c>
      <c r="R8" s="3">
        <v>2</v>
      </c>
      <c r="S8" t="s">
        <v>28</v>
      </c>
      <c r="T8" t="s">
        <v>63</v>
      </c>
    </row>
    <row r="9" spans="1:20" x14ac:dyDescent="0.25">
      <c r="A9" t="s">
        <v>64</v>
      </c>
      <c r="B9" s="1">
        <v>44666</v>
      </c>
      <c r="C9" t="s">
        <v>47</v>
      </c>
      <c r="D9" t="s">
        <v>65</v>
      </c>
      <c r="E9" t="s">
        <v>33</v>
      </c>
      <c r="F9" t="s">
        <v>66</v>
      </c>
      <c r="G9" t="s">
        <v>23</v>
      </c>
      <c r="H9" s="2">
        <v>8500000000</v>
      </c>
      <c r="I9" s="2">
        <v>8350000000</v>
      </c>
      <c r="J9" s="5">
        <v>9.5</v>
      </c>
      <c r="K9" s="3">
        <v>150</v>
      </c>
      <c r="L9" s="3" t="s">
        <v>36</v>
      </c>
      <c r="M9" s="3">
        <f>IF(tblTender[[#This Row],[Status]]="Win",1,0)</f>
        <v>0</v>
      </c>
      <c r="N9" s="3">
        <f>IF(tblTender[[#This Row],[Status]]="Loss",1,0)</f>
        <v>1</v>
      </c>
      <c r="O9" t="s">
        <v>37</v>
      </c>
      <c r="P9" t="s">
        <v>38</v>
      </c>
      <c r="Q9" t="s">
        <v>27</v>
      </c>
      <c r="R9" s="3">
        <v>3</v>
      </c>
      <c r="S9" t="s">
        <v>39</v>
      </c>
      <c r="T9" t="s">
        <v>63</v>
      </c>
    </row>
    <row r="10" spans="1:20" x14ac:dyDescent="0.25">
      <c r="A10" t="s">
        <v>67</v>
      </c>
      <c r="B10" s="1">
        <v>44679</v>
      </c>
      <c r="C10" t="s">
        <v>19</v>
      </c>
      <c r="D10" t="s">
        <v>41</v>
      </c>
      <c r="E10" t="s">
        <v>49</v>
      </c>
      <c r="F10" t="s">
        <v>68</v>
      </c>
      <c r="G10" t="s">
        <v>57</v>
      </c>
      <c r="H10" s="2">
        <v>950000000</v>
      </c>
      <c r="I10" s="2">
        <v>925000000</v>
      </c>
      <c r="J10" s="5">
        <v>17.2</v>
      </c>
      <c r="K10" s="3">
        <v>55</v>
      </c>
      <c r="L10" s="3" t="s">
        <v>24</v>
      </c>
      <c r="M10" s="3">
        <f>IF(tblTender[[#This Row],[Status]]="Win",1,0)</f>
        <v>1</v>
      </c>
      <c r="N10" s="3">
        <f>IF(tblTender[[#This Row],[Status]]="Loss",1,0)</f>
        <v>0</v>
      </c>
      <c r="O10" t="s">
        <v>25</v>
      </c>
      <c r="P10" t="s">
        <v>26</v>
      </c>
      <c r="Q10" t="s">
        <v>44</v>
      </c>
      <c r="R10" s="3">
        <v>1</v>
      </c>
      <c r="S10" t="s">
        <v>45</v>
      </c>
      <c r="T10" t="s">
        <v>63</v>
      </c>
    </row>
    <row r="11" spans="1:20" x14ac:dyDescent="0.25">
      <c r="A11" t="s">
        <v>69</v>
      </c>
      <c r="B11" s="1">
        <v>44693</v>
      </c>
      <c r="C11" t="s">
        <v>31</v>
      </c>
      <c r="D11" t="s">
        <v>32</v>
      </c>
      <c r="E11" t="s">
        <v>55</v>
      </c>
      <c r="F11" t="s">
        <v>70</v>
      </c>
      <c r="G11" t="s">
        <v>35</v>
      </c>
      <c r="H11" s="2">
        <v>520000000</v>
      </c>
      <c r="I11" s="2">
        <v>498000000</v>
      </c>
      <c r="J11" s="5">
        <v>15.5</v>
      </c>
      <c r="K11" s="3">
        <v>40</v>
      </c>
      <c r="L11" s="3" t="s">
        <v>24</v>
      </c>
      <c r="M11" s="3">
        <f>IF(tblTender[[#This Row],[Status]]="Win",1,0)</f>
        <v>1</v>
      </c>
      <c r="N11" s="3">
        <f>IF(tblTender[[#This Row],[Status]]="Loss",1,0)</f>
        <v>0</v>
      </c>
      <c r="O11" t="s">
        <v>51</v>
      </c>
      <c r="P11" t="s">
        <v>26</v>
      </c>
      <c r="Q11" t="s">
        <v>27</v>
      </c>
      <c r="R11" s="3">
        <v>1</v>
      </c>
      <c r="S11" t="s">
        <v>52</v>
      </c>
      <c r="T11" t="s">
        <v>63</v>
      </c>
    </row>
    <row r="12" spans="1:20" x14ac:dyDescent="0.25">
      <c r="A12" t="s">
        <v>71</v>
      </c>
      <c r="B12" s="1">
        <v>44706</v>
      </c>
      <c r="C12" t="s">
        <v>19</v>
      </c>
      <c r="D12" t="s">
        <v>48</v>
      </c>
      <c r="E12" t="s">
        <v>33</v>
      </c>
      <c r="F12" t="s">
        <v>72</v>
      </c>
      <c r="G12" t="s">
        <v>35</v>
      </c>
      <c r="H12" s="2">
        <v>385000000</v>
      </c>
      <c r="I12" s="2">
        <v>395000000</v>
      </c>
      <c r="J12" s="5">
        <v>16.8</v>
      </c>
      <c r="K12" s="3">
        <v>35</v>
      </c>
      <c r="L12" s="3" t="s">
        <v>36</v>
      </c>
      <c r="M12" s="3">
        <f>IF(tblTender[[#This Row],[Status]]="Win",1,0)</f>
        <v>0</v>
      </c>
      <c r="N12" s="3">
        <f>IF(tblTender[[#This Row],[Status]]="Loss",1,0)</f>
        <v>1</v>
      </c>
      <c r="O12" t="s">
        <v>37</v>
      </c>
      <c r="P12" t="s">
        <v>26</v>
      </c>
      <c r="Q12" t="s">
        <v>44</v>
      </c>
      <c r="R12" s="3">
        <v>2</v>
      </c>
      <c r="S12" t="s">
        <v>45</v>
      </c>
      <c r="T12" t="s">
        <v>63</v>
      </c>
    </row>
    <row r="13" spans="1:20" x14ac:dyDescent="0.25">
      <c r="A13" t="s">
        <v>73</v>
      </c>
      <c r="B13" s="1">
        <v>44720</v>
      </c>
      <c r="C13" t="s">
        <v>47</v>
      </c>
      <c r="D13" t="s">
        <v>74</v>
      </c>
      <c r="E13" t="s">
        <v>21</v>
      </c>
      <c r="F13" t="s">
        <v>75</v>
      </c>
      <c r="G13" t="s">
        <v>35</v>
      </c>
      <c r="H13" s="2">
        <v>720000000</v>
      </c>
      <c r="I13" s="2">
        <v>705000000</v>
      </c>
      <c r="J13" s="5">
        <v>14</v>
      </c>
      <c r="K13" s="3">
        <v>70</v>
      </c>
      <c r="L13" s="3" t="s">
        <v>24</v>
      </c>
      <c r="M13" s="3">
        <f>IF(tblTender[[#This Row],[Status]]="Win",1,0)</f>
        <v>1</v>
      </c>
      <c r="N13" s="3">
        <f>IF(tblTender[[#This Row],[Status]]="Loss",1,0)</f>
        <v>0</v>
      </c>
      <c r="O13" t="s">
        <v>43</v>
      </c>
      <c r="P13" t="s">
        <v>26</v>
      </c>
      <c r="Q13" t="s">
        <v>27</v>
      </c>
      <c r="R13" s="3">
        <v>1</v>
      </c>
      <c r="S13" t="s">
        <v>28</v>
      </c>
      <c r="T13" t="s">
        <v>63</v>
      </c>
    </row>
    <row r="14" spans="1:20" x14ac:dyDescent="0.25">
      <c r="A14" t="s">
        <v>76</v>
      </c>
      <c r="B14" s="1">
        <v>44732</v>
      </c>
      <c r="C14" t="s">
        <v>19</v>
      </c>
      <c r="D14" t="s">
        <v>20</v>
      </c>
      <c r="E14" t="s">
        <v>77</v>
      </c>
      <c r="F14" t="s">
        <v>78</v>
      </c>
      <c r="G14" t="s">
        <v>35</v>
      </c>
      <c r="H14" s="2">
        <v>180000000</v>
      </c>
      <c r="I14" s="2">
        <v>175000000</v>
      </c>
      <c r="J14" s="5">
        <v>22.5</v>
      </c>
      <c r="K14" s="3">
        <v>30</v>
      </c>
      <c r="L14" s="3" t="s">
        <v>24</v>
      </c>
      <c r="M14" s="3">
        <f>IF(tblTender[[#This Row],[Status]]="Win",1,0)</f>
        <v>1</v>
      </c>
      <c r="N14" s="3">
        <f>IF(tblTender[[#This Row],[Status]]="Loss",1,0)</f>
        <v>0</v>
      </c>
      <c r="O14" t="s">
        <v>51</v>
      </c>
      <c r="P14" t="s">
        <v>26</v>
      </c>
      <c r="Q14" t="s">
        <v>27</v>
      </c>
      <c r="R14" s="3">
        <v>1</v>
      </c>
      <c r="S14" t="s">
        <v>52</v>
      </c>
      <c r="T14" t="s">
        <v>63</v>
      </c>
    </row>
    <row r="15" spans="1:20" x14ac:dyDescent="0.25">
      <c r="A15" t="s">
        <v>79</v>
      </c>
      <c r="B15" s="1">
        <v>44747</v>
      </c>
      <c r="C15" t="s">
        <v>31</v>
      </c>
      <c r="D15" t="s">
        <v>60</v>
      </c>
      <c r="E15" t="s">
        <v>21</v>
      </c>
      <c r="F15" t="s">
        <v>22</v>
      </c>
      <c r="G15" t="s">
        <v>23</v>
      </c>
      <c r="H15" s="2">
        <v>2650000000</v>
      </c>
      <c r="I15" s="2">
        <v>2580000000</v>
      </c>
      <c r="J15" s="5">
        <v>12.8</v>
      </c>
      <c r="K15" s="3">
        <v>100</v>
      </c>
      <c r="L15" s="3" t="s">
        <v>36</v>
      </c>
      <c r="M15" s="3">
        <f>IF(tblTender[[#This Row],[Status]]="Win",1,0)</f>
        <v>0</v>
      </c>
      <c r="N15" s="3">
        <f>IF(tblTender[[#This Row],[Status]]="Loss",1,0)</f>
        <v>1</v>
      </c>
      <c r="O15" t="s">
        <v>80</v>
      </c>
      <c r="P15" t="s">
        <v>38</v>
      </c>
      <c r="Q15" t="s">
        <v>27</v>
      </c>
      <c r="R15" s="3">
        <v>2</v>
      </c>
      <c r="S15" t="s">
        <v>28</v>
      </c>
      <c r="T15" t="s">
        <v>81</v>
      </c>
    </row>
    <row r="16" spans="1:20" x14ac:dyDescent="0.25">
      <c r="A16" t="s">
        <v>82</v>
      </c>
      <c r="B16" s="1">
        <v>44760</v>
      </c>
      <c r="C16" t="s">
        <v>19</v>
      </c>
      <c r="D16" t="s">
        <v>54</v>
      </c>
      <c r="E16" t="s">
        <v>33</v>
      </c>
      <c r="F16" t="s">
        <v>83</v>
      </c>
      <c r="G16" t="s">
        <v>23</v>
      </c>
      <c r="H16" s="2">
        <v>2150000000</v>
      </c>
      <c r="I16" s="2">
        <v>2080000000</v>
      </c>
      <c r="J16" s="5">
        <v>13.5</v>
      </c>
      <c r="K16" s="3">
        <v>110</v>
      </c>
      <c r="L16" s="3" t="s">
        <v>24</v>
      </c>
      <c r="M16" s="3">
        <f>IF(tblTender[[#This Row],[Status]]="Win",1,0)</f>
        <v>1</v>
      </c>
      <c r="N16" s="3">
        <f>IF(tblTender[[#This Row],[Status]]="Loss",1,0)</f>
        <v>0</v>
      </c>
      <c r="O16" t="s">
        <v>25</v>
      </c>
      <c r="P16" t="s">
        <v>26</v>
      </c>
      <c r="Q16" t="s">
        <v>27</v>
      </c>
      <c r="R16" s="3">
        <v>1</v>
      </c>
      <c r="S16" t="s">
        <v>39</v>
      </c>
      <c r="T16" t="s">
        <v>81</v>
      </c>
    </row>
    <row r="17" spans="1:20" x14ac:dyDescent="0.25">
      <c r="A17" t="s">
        <v>84</v>
      </c>
      <c r="B17" s="1">
        <v>44775</v>
      </c>
      <c r="C17" t="s">
        <v>47</v>
      </c>
      <c r="D17" t="s">
        <v>48</v>
      </c>
      <c r="E17" t="s">
        <v>55</v>
      </c>
      <c r="F17" t="s">
        <v>85</v>
      </c>
      <c r="G17" t="s">
        <v>57</v>
      </c>
      <c r="H17" s="2">
        <v>1450000000</v>
      </c>
      <c r="I17" s="2">
        <v>1485000000</v>
      </c>
      <c r="J17" s="5">
        <v>14.2</v>
      </c>
      <c r="K17" s="3">
        <v>80</v>
      </c>
      <c r="L17" s="3" t="s">
        <v>36</v>
      </c>
      <c r="M17" s="3">
        <f>IF(tblTender[[#This Row],[Status]]="Win",1,0)</f>
        <v>0</v>
      </c>
      <c r="N17" s="3">
        <f>IF(tblTender[[#This Row],[Status]]="Loss",1,0)</f>
        <v>1</v>
      </c>
      <c r="O17" t="s">
        <v>37</v>
      </c>
      <c r="P17" t="s">
        <v>38</v>
      </c>
      <c r="Q17" t="s">
        <v>27</v>
      </c>
      <c r="R17" s="3">
        <v>3</v>
      </c>
      <c r="S17" t="s">
        <v>45</v>
      </c>
      <c r="T17" t="s">
        <v>81</v>
      </c>
    </row>
    <row r="18" spans="1:20" x14ac:dyDescent="0.25">
      <c r="A18" t="s">
        <v>86</v>
      </c>
      <c r="B18" s="1">
        <v>44788</v>
      </c>
      <c r="C18" t="s">
        <v>19</v>
      </c>
      <c r="D18" t="s">
        <v>41</v>
      </c>
      <c r="E18" t="s">
        <v>49</v>
      </c>
      <c r="F18" t="s">
        <v>87</v>
      </c>
      <c r="G18" t="s">
        <v>35</v>
      </c>
      <c r="H18" s="2">
        <v>275000000</v>
      </c>
      <c r="I18" s="2">
        <v>268000000</v>
      </c>
      <c r="J18" s="5">
        <v>19.5</v>
      </c>
      <c r="K18" s="3">
        <v>40</v>
      </c>
      <c r="L18" s="3" t="s">
        <v>24</v>
      </c>
      <c r="M18" s="3">
        <f>IF(tblTender[[#This Row],[Status]]="Win",1,0)</f>
        <v>1</v>
      </c>
      <c r="N18" s="3">
        <f>IF(tblTender[[#This Row],[Status]]="Loss",1,0)</f>
        <v>0</v>
      </c>
      <c r="O18" t="s">
        <v>43</v>
      </c>
      <c r="P18" t="s">
        <v>26</v>
      </c>
      <c r="Q18" t="s">
        <v>44</v>
      </c>
      <c r="R18" s="3">
        <v>1</v>
      </c>
      <c r="S18" t="s">
        <v>45</v>
      </c>
      <c r="T18" t="s">
        <v>81</v>
      </c>
    </row>
    <row r="19" spans="1:20" x14ac:dyDescent="0.25">
      <c r="A19" t="s">
        <v>88</v>
      </c>
      <c r="B19" s="1">
        <v>44801</v>
      </c>
      <c r="C19" t="s">
        <v>31</v>
      </c>
      <c r="D19" t="s">
        <v>32</v>
      </c>
      <c r="E19" t="s">
        <v>33</v>
      </c>
      <c r="F19" t="s">
        <v>89</v>
      </c>
      <c r="G19" t="s">
        <v>35</v>
      </c>
      <c r="H19" s="2">
        <v>2350000000</v>
      </c>
      <c r="I19" s="2">
        <v>2295000000</v>
      </c>
      <c r="J19" s="5">
        <v>12.3</v>
      </c>
      <c r="K19" s="3">
        <v>90</v>
      </c>
      <c r="L19" s="3" t="s">
        <v>24</v>
      </c>
      <c r="M19" s="3">
        <f>IF(tblTender[[#This Row],[Status]]="Win",1,0)</f>
        <v>1</v>
      </c>
      <c r="N19" s="3">
        <f>IF(tblTender[[#This Row],[Status]]="Loss",1,0)</f>
        <v>0</v>
      </c>
      <c r="O19" t="s">
        <v>25</v>
      </c>
      <c r="P19" t="s">
        <v>26</v>
      </c>
      <c r="Q19" t="s">
        <v>27</v>
      </c>
      <c r="R19" s="3">
        <v>2</v>
      </c>
      <c r="S19" t="s">
        <v>28</v>
      </c>
      <c r="T19" t="s">
        <v>81</v>
      </c>
    </row>
    <row r="20" spans="1:20" x14ac:dyDescent="0.25">
      <c r="A20" t="s">
        <v>90</v>
      </c>
      <c r="B20" s="1">
        <v>44814</v>
      </c>
      <c r="C20" t="s">
        <v>19</v>
      </c>
      <c r="D20" t="s">
        <v>20</v>
      </c>
      <c r="E20" t="s">
        <v>21</v>
      </c>
      <c r="F20" t="s">
        <v>91</v>
      </c>
      <c r="G20" t="s">
        <v>35</v>
      </c>
      <c r="H20" s="2">
        <v>890000000</v>
      </c>
      <c r="I20" s="2">
        <v>915000000</v>
      </c>
      <c r="J20" s="5">
        <v>15</v>
      </c>
      <c r="K20" s="3">
        <v>65</v>
      </c>
      <c r="L20" s="3" t="s">
        <v>36</v>
      </c>
      <c r="M20" s="3">
        <f>IF(tblTender[[#This Row],[Status]]="Win",1,0)</f>
        <v>0</v>
      </c>
      <c r="N20" s="3">
        <f>IF(tblTender[[#This Row],[Status]]="Loss",1,0)</f>
        <v>1</v>
      </c>
      <c r="O20" t="s">
        <v>80</v>
      </c>
      <c r="P20" t="s">
        <v>38</v>
      </c>
      <c r="Q20" t="s">
        <v>27</v>
      </c>
      <c r="R20" s="3">
        <v>2</v>
      </c>
      <c r="S20" t="s">
        <v>28</v>
      </c>
      <c r="T20" t="s">
        <v>81</v>
      </c>
    </row>
    <row r="21" spans="1:20" x14ac:dyDescent="0.25">
      <c r="A21" t="s">
        <v>92</v>
      </c>
      <c r="B21" s="1">
        <v>44827</v>
      </c>
      <c r="C21" t="s">
        <v>47</v>
      </c>
      <c r="D21" t="s">
        <v>65</v>
      </c>
      <c r="E21" t="s">
        <v>77</v>
      </c>
      <c r="F21" t="s">
        <v>93</v>
      </c>
      <c r="G21" t="s">
        <v>35</v>
      </c>
      <c r="H21" s="2">
        <v>485000000</v>
      </c>
      <c r="I21" s="2">
        <v>475000000</v>
      </c>
      <c r="J21" s="5">
        <v>21</v>
      </c>
      <c r="K21" s="3">
        <v>30</v>
      </c>
      <c r="L21" s="3" t="s">
        <v>24</v>
      </c>
      <c r="M21" s="3">
        <f>IF(tblTender[[#This Row],[Status]]="Win",1,0)</f>
        <v>1</v>
      </c>
      <c r="N21" s="3">
        <f>IF(tblTender[[#This Row],[Status]]="Loss",1,0)</f>
        <v>0</v>
      </c>
      <c r="O21" t="s">
        <v>51</v>
      </c>
      <c r="P21" t="s">
        <v>26</v>
      </c>
      <c r="Q21" t="s">
        <v>27</v>
      </c>
      <c r="R21" s="3">
        <v>1</v>
      </c>
      <c r="S21" t="s">
        <v>52</v>
      </c>
      <c r="T21" t="s">
        <v>81</v>
      </c>
    </row>
    <row r="22" spans="1:20" x14ac:dyDescent="0.25">
      <c r="A22" t="s">
        <v>94</v>
      </c>
      <c r="B22" s="1">
        <v>44839</v>
      </c>
      <c r="C22" t="s">
        <v>19</v>
      </c>
      <c r="D22" t="s">
        <v>54</v>
      </c>
      <c r="E22" t="s">
        <v>33</v>
      </c>
      <c r="F22" t="s">
        <v>95</v>
      </c>
      <c r="G22" t="s">
        <v>23</v>
      </c>
      <c r="H22" s="2">
        <v>1180000000</v>
      </c>
      <c r="I22" s="2">
        <v>1145000000</v>
      </c>
      <c r="J22" s="5">
        <v>13.8</v>
      </c>
      <c r="K22" s="3">
        <v>75</v>
      </c>
      <c r="L22" s="3" t="s">
        <v>24</v>
      </c>
      <c r="M22" s="3">
        <f>IF(tblTender[[#This Row],[Status]]="Win",1,0)</f>
        <v>1</v>
      </c>
      <c r="N22" s="3">
        <f>IF(tblTender[[#This Row],[Status]]="Loss",1,0)</f>
        <v>0</v>
      </c>
      <c r="O22" t="s">
        <v>25</v>
      </c>
      <c r="P22" t="s">
        <v>26</v>
      </c>
      <c r="Q22" t="s">
        <v>27</v>
      </c>
      <c r="R22" s="3">
        <v>1</v>
      </c>
      <c r="S22" t="s">
        <v>45</v>
      </c>
      <c r="T22" t="s">
        <v>96</v>
      </c>
    </row>
    <row r="23" spans="1:20" x14ac:dyDescent="0.25">
      <c r="A23" t="s">
        <v>97</v>
      </c>
      <c r="B23" s="1">
        <v>44852</v>
      </c>
      <c r="C23" t="s">
        <v>31</v>
      </c>
      <c r="D23" t="s">
        <v>60</v>
      </c>
      <c r="E23" t="s">
        <v>49</v>
      </c>
      <c r="F23" t="s">
        <v>98</v>
      </c>
      <c r="G23" t="s">
        <v>57</v>
      </c>
      <c r="H23" s="2">
        <v>1850000000</v>
      </c>
      <c r="I23" s="2">
        <v>1920000000</v>
      </c>
      <c r="J23" s="5">
        <v>16.5</v>
      </c>
      <c r="K23" s="3">
        <v>85</v>
      </c>
      <c r="L23" s="3" t="s">
        <v>36</v>
      </c>
      <c r="M23" s="3">
        <f>IF(tblTender[[#This Row],[Status]]="Win",1,0)</f>
        <v>0</v>
      </c>
      <c r="N23" s="3">
        <f>IF(tblTender[[#This Row],[Status]]="Loss",1,0)</f>
        <v>1</v>
      </c>
      <c r="O23" t="s">
        <v>37</v>
      </c>
      <c r="P23" t="s">
        <v>38</v>
      </c>
      <c r="Q23" t="s">
        <v>27</v>
      </c>
      <c r="R23" s="3">
        <v>3</v>
      </c>
      <c r="S23" t="s">
        <v>39</v>
      </c>
      <c r="T23" t="s">
        <v>96</v>
      </c>
    </row>
    <row r="24" spans="1:20" x14ac:dyDescent="0.25">
      <c r="A24" t="s">
        <v>99</v>
      </c>
      <c r="B24" s="1">
        <v>44867</v>
      </c>
      <c r="C24" t="s">
        <v>19</v>
      </c>
      <c r="D24" t="s">
        <v>48</v>
      </c>
      <c r="E24" t="s">
        <v>55</v>
      </c>
      <c r="F24" t="s">
        <v>100</v>
      </c>
      <c r="G24" t="s">
        <v>35</v>
      </c>
      <c r="H24" s="2">
        <v>650000000</v>
      </c>
      <c r="I24" s="2">
        <v>635000000</v>
      </c>
      <c r="J24" s="5">
        <v>14.8</v>
      </c>
      <c r="K24" s="3">
        <v>55</v>
      </c>
      <c r="L24" s="3" t="s">
        <v>24</v>
      </c>
      <c r="M24" s="3">
        <f>IF(tblTender[[#This Row],[Status]]="Win",1,0)</f>
        <v>1</v>
      </c>
      <c r="N24" s="3">
        <f>IF(tblTender[[#This Row],[Status]]="Loss",1,0)</f>
        <v>0</v>
      </c>
      <c r="O24" t="s">
        <v>43</v>
      </c>
      <c r="P24" t="s">
        <v>26</v>
      </c>
      <c r="Q24" t="s">
        <v>44</v>
      </c>
      <c r="R24" s="3">
        <v>1</v>
      </c>
      <c r="S24" t="s">
        <v>28</v>
      </c>
      <c r="T24" t="s">
        <v>96</v>
      </c>
    </row>
    <row r="25" spans="1:20" x14ac:dyDescent="0.25">
      <c r="A25" t="s">
        <v>101</v>
      </c>
      <c r="B25" s="1">
        <v>44880</v>
      </c>
      <c r="C25" t="s">
        <v>47</v>
      </c>
      <c r="D25" t="s">
        <v>74</v>
      </c>
      <c r="E25" t="s">
        <v>21</v>
      </c>
      <c r="F25" t="s">
        <v>102</v>
      </c>
      <c r="G25" t="s">
        <v>35</v>
      </c>
      <c r="H25" s="2">
        <v>920000000</v>
      </c>
      <c r="I25" s="2">
        <v>895000000</v>
      </c>
      <c r="J25" s="5">
        <v>13.5</v>
      </c>
      <c r="K25" s="3">
        <v>65</v>
      </c>
      <c r="L25" s="3" t="s">
        <v>24</v>
      </c>
      <c r="M25" s="3">
        <f>IF(tblTender[[#This Row],[Status]]="Win",1,0)</f>
        <v>1</v>
      </c>
      <c r="N25" s="3">
        <f>IF(tblTender[[#This Row],[Status]]="Loss",1,0)</f>
        <v>0</v>
      </c>
      <c r="O25" t="s">
        <v>25</v>
      </c>
      <c r="P25" t="s">
        <v>26</v>
      </c>
      <c r="Q25" t="s">
        <v>27</v>
      </c>
      <c r="R25" s="3">
        <v>1</v>
      </c>
      <c r="S25" t="s">
        <v>45</v>
      </c>
      <c r="T25" t="s">
        <v>96</v>
      </c>
    </row>
    <row r="26" spans="1:20" x14ac:dyDescent="0.25">
      <c r="A26" t="s">
        <v>103</v>
      </c>
      <c r="B26" s="1">
        <v>44893</v>
      </c>
      <c r="C26" t="s">
        <v>19</v>
      </c>
      <c r="D26" t="s">
        <v>20</v>
      </c>
      <c r="E26" t="s">
        <v>33</v>
      </c>
      <c r="F26" t="s">
        <v>104</v>
      </c>
      <c r="G26" t="s">
        <v>57</v>
      </c>
      <c r="H26" s="2">
        <v>520000000</v>
      </c>
      <c r="I26" s="2">
        <v>535000000</v>
      </c>
      <c r="J26" s="5">
        <v>15.2</v>
      </c>
      <c r="K26" s="3">
        <v>40</v>
      </c>
      <c r="L26" s="3" t="s">
        <v>36</v>
      </c>
      <c r="M26" s="3">
        <f>IF(tblTender[[#This Row],[Status]]="Win",1,0)</f>
        <v>0</v>
      </c>
      <c r="N26" s="3">
        <f>IF(tblTender[[#This Row],[Status]]="Loss",1,0)</f>
        <v>1</v>
      </c>
      <c r="O26" t="s">
        <v>37</v>
      </c>
      <c r="P26" t="s">
        <v>38</v>
      </c>
      <c r="Q26" t="s">
        <v>27</v>
      </c>
      <c r="R26" s="3">
        <v>2</v>
      </c>
      <c r="S26" t="s">
        <v>52</v>
      </c>
      <c r="T26" t="s">
        <v>96</v>
      </c>
    </row>
    <row r="27" spans="1:20" x14ac:dyDescent="0.25">
      <c r="A27" t="s">
        <v>105</v>
      </c>
      <c r="B27" s="1">
        <v>44907</v>
      </c>
      <c r="C27" t="s">
        <v>31</v>
      </c>
      <c r="D27" t="s">
        <v>32</v>
      </c>
      <c r="E27" t="s">
        <v>21</v>
      </c>
      <c r="F27" t="s">
        <v>106</v>
      </c>
      <c r="G27" t="s">
        <v>35</v>
      </c>
      <c r="H27" s="2">
        <v>780000000</v>
      </c>
      <c r="I27" s="2">
        <v>762000000</v>
      </c>
      <c r="J27" s="5">
        <v>14.5</v>
      </c>
      <c r="K27" s="3">
        <v>50</v>
      </c>
      <c r="L27" s="3" t="s">
        <v>24</v>
      </c>
      <c r="M27" s="3">
        <f>IF(tblTender[[#This Row],[Status]]="Win",1,0)</f>
        <v>1</v>
      </c>
      <c r="N27" s="3">
        <f>IF(tblTender[[#This Row],[Status]]="Loss",1,0)</f>
        <v>0</v>
      </c>
      <c r="O27" t="s">
        <v>51</v>
      </c>
      <c r="P27" t="s">
        <v>26</v>
      </c>
      <c r="Q27" t="s">
        <v>27</v>
      </c>
      <c r="R27" s="3">
        <v>1</v>
      </c>
      <c r="S27" t="s">
        <v>45</v>
      </c>
      <c r="T27" t="s">
        <v>96</v>
      </c>
    </row>
    <row r="28" spans="1:20" x14ac:dyDescent="0.25">
      <c r="A28" t="s">
        <v>107</v>
      </c>
      <c r="B28" s="1">
        <v>44917</v>
      </c>
      <c r="C28" t="s">
        <v>19</v>
      </c>
      <c r="D28" t="s">
        <v>41</v>
      </c>
      <c r="E28" t="s">
        <v>77</v>
      </c>
      <c r="F28" t="s">
        <v>108</v>
      </c>
      <c r="G28" t="s">
        <v>35</v>
      </c>
      <c r="H28" s="2">
        <v>225000000</v>
      </c>
      <c r="I28" s="2">
        <v>220000000</v>
      </c>
      <c r="J28" s="5">
        <v>23</v>
      </c>
      <c r="K28" s="3">
        <v>25</v>
      </c>
      <c r="L28" s="3" t="s">
        <v>24</v>
      </c>
      <c r="M28" s="3">
        <f>IF(tblTender[[#This Row],[Status]]="Win",1,0)</f>
        <v>1</v>
      </c>
      <c r="N28" s="3">
        <f>IF(tblTender[[#This Row],[Status]]="Loss",1,0)</f>
        <v>0</v>
      </c>
      <c r="O28" t="s">
        <v>51</v>
      </c>
      <c r="P28" t="s">
        <v>26</v>
      </c>
      <c r="Q28" t="s">
        <v>27</v>
      </c>
      <c r="R28" s="3">
        <v>1</v>
      </c>
      <c r="S28" t="s">
        <v>52</v>
      </c>
      <c r="T28" t="s">
        <v>96</v>
      </c>
    </row>
    <row r="29" spans="1:20" x14ac:dyDescent="0.25">
      <c r="A29" t="s">
        <v>109</v>
      </c>
      <c r="B29" s="1">
        <v>44936</v>
      </c>
      <c r="C29" t="s">
        <v>19</v>
      </c>
      <c r="D29" t="s">
        <v>54</v>
      </c>
      <c r="E29" t="s">
        <v>21</v>
      </c>
      <c r="F29" t="s">
        <v>110</v>
      </c>
      <c r="G29" t="s">
        <v>23</v>
      </c>
      <c r="H29" s="2">
        <v>3850000000</v>
      </c>
      <c r="I29" s="2">
        <v>3780000000</v>
      </c>
      <c r="J29" s="5">
        <v>11.5</v>
      </c>
      <c r="K29" s="3">
        <v>130</v>
      </c>
      <c r="L29" s="3" t="s">
        <v>36</v>
      </c>
      <c r="M29" s="3">
        <f>IF(tblTender[[#This Row],[Status]]="Win",1,0)</f>
        <v>0</v>
      </c>
      <c r="N29" s="3">
        <f>IF(tblTender[[#This Row],[Status]]="Loss",1,0)</f>
        <v>1</v>
      </c>
      <c r="O29" t="s">
        <v>80</v>
      </c>
      <c r="P29" t="s">
        <v>38</v>
      </c>
      <c r="Q29" t="s">
        <v>27</v>
      </c>
      <c r="R29" s="3">
        <v>3</v>
      </c>
      <c r="S29" t="s">
        <v>39</v>
      </c>
      <c r="T29" t="s">
        <v>111</v>
      </c>
    </row>
    <row r="30" spans="1:20" x14ac:dyDescent="0.25">
      <c r="A30" t="s">
        <v>112</v>
      </c>
      <c r="B30" s="1">
        <v>44951</v>
      </c>
      <c r="C30" t="s">
        <v>47</v>
      </c>
      <c r="D30" t="s">
        <v>48</v>
      </c>
      <c r="E30" t="s">
        <v>33</v>
      </c>
      <c r="F30" t="s">
        <v>113</v>
      </c>
      <c r="G30" t="s">
        <v>23</v>
      </c>
      <c r="H30" s="2">
        <v>5650000000</v>
      </c>
      <c r="I30" s="2">
        <v>5550000000</v>
      </c>
      <c r="J30" s="5">
        <v>10.8</v>
      </c>
      <c r="K30" s="3">
        <v>140</v>
      </c>
      <c r="L30" s="3" t="s">
        <v>24</v>
      </c>
      <c r="M30" s="3">
        <f>IF(tblTender[[#This Row],[Status]]="Win",1,0)</f>
        <v>1</v>
      </c>
      <c r="N30" s="3">
        <f>IF(tblTender[[#This Row],[Status]]="Loss",1,0)</f>
        <v>0</v>
      </c>
      <c r="O30" t="s">
        <v>25</v>
      </c>
      <c r="P30" t="s">
        <v>26</v>
      </c>
      <c r="Q30" t="s">
        <v>27</v>
      </c>
      <c r="R30" s="3">
        <v>2</v>
      </c>
      <c r="S30" t="s">
        <v>28</v>
      </c>
      <c r="T30" t="s">
        <v>111</v>
      </c>
    </row>
    <row r="31" spans="1:20" x14ac:dyDescent="0.25">
      <c r="A31" t="s">
        <v>114</v>
      </c>
      <c r="B31" s="1">
        <v>44965</v>
      </c>
      <c r="C31" t="s">
        <v>19</v>
      </c>
      <c r="D31" t="s">
        <v>20</v>
      </c>
      <c r="E31" t="s">
        <v>49</v>
      </c>
      <c r="F31" t="s">
        <v>115</v>
      </c>
      <c r="G31" t="s">
        <v>35</v>
      </c>
      <c r="H31" s="2">
        <v>165000000</v>
      </c>
      <c r="I31" s="2">
        <v>158000000</v>
      </c>
      <c r="J31" s="5">
        <v>20.5</v>
      </c>
      <c r="K31" s="3">
        <v>30</v>
      </c>
      <c r="L31" s="3" t="s">
        <v>24</v>
      </c>
      <c r="M31" s="3">
        <f>IF(tblTender[[#This Row],[Status]]="Win",1,0)</f>
        <v>1</v>
      </c>
      <c r="N31" s="3">
        <f>IF(tblTender[[#This Row],[Status]]="Loss",1,0)</f>
        <v>0</v>
      </c>
      <c r="O31" t="s">
        <v>51</v>
      </c>
      <c r="P31" t="s">
        <v>26</v>
      </c>
      <c r="Q31" t="s">
        <v>44</v>
      </c>
      <c r="R31" s="3">
        <v>1</v>
      </c>
      <c r="S31" t="s">
        <v>45</v>
      </c>
      <c r="T31" t="s">
        <v>111</v>
      </c>
    </row>
    <row r="32" spans="1:20" x14ac:dyDescent="0.25">
      <c r="A32" t="s">
        <v>116</v>
      </c>
      <c r="B32" s="1">
        <v>44979</v>
      </c>
      <c r="C32" t="s">
        <v>31</v>
      </c>
      <c r="D32" t="s">
        <v>60</v>
      </c>
      <c r="E32" t="s">
        <v>55</v>
      </c>
      <c r="F32" t="s">
        <v>117</v>
      </c>
      <c r="G32" t="s">
        <v>35</v>
      </c>
      <c r="H32" s="2">
        <v>890000000</v>
      </c>
      <c r="I32" s="2">
        <v>910000000</v>
      </c>
      <c r="J32" s="5">
        <v>14</v>
      </c>
      <c r="K32" s="3">
        <v>60</v>
      </c>
      <c r="L32" s="3" t="s">
        <v>36</v>
      </c>
      <c r="M32" s="3">
        <f>IF(tblTender[[#This Row],[Status]]="Win",1,0)</f>
        <v>0</v>
      </c>
      <c r="N32" s="3">
        <f>IF(tblTender[[#This Row],[Status]]="Loss",1,0)</f>
        <v>1</v>
      </c>
      <c r="O32" t="s">
        <v>37</v>
      </c>
      <c r="P32" t="s">
        <v>38</v>
      </c>
      <c r="Q32" t="s">
        <v>27</v>
      </c>
      <c r="R32" s="3">
        <v>2</v>
      </c>
      <c r="S32" t="s">
        <v>52</v>
      </c>
      <c r="T32" t="s">
        <v>111</v>
      </c>
    </row>
    <row r="33" spans="1:20" x14ac:dyDescent="0.25">
      <c r="A33" t="s">
        <v>118</v>
      </c>
      <c r="B33" s="1">
        <v>44993</v>
      </c>
      <c r="C33" t="s">
        <v>19</v>
      </c>
      <c r="D33" t="s">
        <v>41</v>
      </c>
      <c r="E33" t="s">
        <v>33</v>
      </c>
      <c r="F33" t="s">
        <v>119</v>
      </c>
      <c r="G33" t="s">
        <v>35</v>
      </c>
      <c r="H33" s="2">
        <v>1450000000</v>
      </c>
      <c r="I33" s="2">
        <v>1410000000</v>
      </c>
      <c r="J33" s="5">
        <v>13.2</v>
      </c>
      <c r="K33" s="3">
        <v>80</v>
      </c>
      <c r="L33" s="3" t="s">
        <v>24</v>
      </c>
      <c r="M33" s="3">
        <f>IF(tblTender[[#This Row],[Status]]="Win",1,0)</f>
        <v>1</v>
      </c>
      <c r="N33" s="3">
        <f>IF(tblTender[[#This Row],[Status]]="Loss",1,0)</f>
        <v>0</v>
      </c>
      <c r="O33" t="s">
        <v>43</v>
      </c>
      <c r="P33" t="s">
        <v>26</v>
      </c>
      <c r="Q33" t="s">
        <v>27</v>
      </c>
      <c r="R33" s="3">
        <v>1</v>
      </c>
      <c r="S33" t="s">
        <v>45</v>
      </c>
      <c r="T33" t="s">
        <v>111</v>
      </c>
    </row>
    <row r="34" spans="1:20" x14ac:dyDescent="0.25">
      <c r="A34" t="s">
        <v>120</v>
      </c>
      <c r="B34" s="1">
        <v>45007</v>
      </c>
      <c r="C34" t="s">
        <v>47</v>
      </c>
      <c r="D34" t="s">
        <v>65</v>
      </c>
      <c r="E34" t="s">
        <v>21</v>
      </c>
      <c r="F34" t="s">
        <v>121</v>
      </c>
      <c r="G34" t="s">
        <v>35</v>
      </c>
      <c r="H34" s="2">
        <v>580000000</v>
      </c>
      <c r="I34" s="2">
        <v>565000000</v>
      </c>
      <c r="J34" s="5">
        <v>15</v>
      </c>
      <c r="K34" s="3">
        <v>55</v>
      </c>
      <c r="L34" s="3" t="s">
        <v>24</v>
      </c>
      <c r="M34" s="3">
        <f>IF(tblTender[[#This Row],[Status]]="Win",1,0)</f>
        <v>1</v>
      </c>
      <c r="N34" s="3">
        <f>IF(tblTender[[#This Row],[Status]]="Loss",1,0)</f>
        <v>0</v>
      </c>
      <c r="O34" t="s">
        <v>25</v>
      </c>
      <c r="P34" t="s">
        <v>26</v>
      </c>
      <c r="Q34" t="s">
        <v>27</v>
      </c>
      <c r="R34" s="3">
        <v>1</v>
      </c>
      <c r="S34" t="s">
        <v>28</v>
      </c>
      <c r="T34" t="s">
        <v>111</v>
      </c>
    </row>
    <row r="35" spans="1:20" x14ac:dyDescent="0.25">
      <c r="A35" t="s">
        <v>122</v>
      </c>
      <c r="B35" s="1">
        <v>45021</v>
      </c>
      <c r="C35" t="s">
        <v>19</v>
      </c>
      <c r="D35" t="s">
        <v>48</v>
      </c>
      <c r="E35" t="s">
        <v>21</v>
      </c>
      <c r="F35" t="s">
        <v>22</v>
      </c>
      <c r="G35" t="s">
        <v>23</v>
      </c>
      <c r="H35" s="2">
        <v>2950000000</v>
      </c>
      <c r="I35" s="2">
        <v>2880000000</v>
      </c>
      <c r="J35" s="5">
        <v>12</v>
      </c>
      <c r="K35" s="3">
        <v>95</v>
      </c>
      <c r="L35" s="3" t="s">
        <v>24</v>
      </c>
      <c r="M35" s="3">
        <f>IF(tblTender[[#This Row],[Status]]="Win",1,0)</f>
        <v>1</v>
      </c>
      <c r="N35" s="3">
        <f>IF(tblTender[[#This Row],[Status]]="Loss",1,0)</f>
        <v>0</v>
      </c>
      <c r="O35" t="s">
        <v>25</v>
      </c>
      <c r="P35" t="s">
        <v>26</v>
      </c>
      <c r="Q35" t="s">
        <v>27</v>
      </c>
      <c r="R35" s="3">
        <v>2</v>
      </c>
      <c r="S35" t="s">
        <v>28</v>
      </c>
      <c r="T35" t="s">
        <v>123</v>
      </c>
    </row>
    <row r="36" spans="1:20" x14ac:dyDescent="0.25">
      <c r="A36" t="s">
        <v>124</v>
      </c>
      <c r="B36" s="1">
        <v>45034</v>
      </c>
      <c r="C36" t="s">
        <v>31</v>
      </c>
      <c r="D36" t="s">
        <v>32</v>
      </c>
      <c r="E36" t="s">
        <v>33</v>
      </c>
      <c r="F36" t="s">
        <v>125</v>
      </c>
      <c r="G36" t="s">
        <v>23</v>
      </c>
      <c r="H36" s="2">
        <v>1850000000</v>
      </c>
      <c r="I36" s="2">
        <v>1810000000</v>
      </c>
      <c r="J36" s="5">
        <v>12.5</v>
      </c>
      <c r="K36" s="3">
        <v>85</v>
      </c>
      <c r="L36" s="3" t="s">
        <v>24</v>
      </c>
      <c r="M36" s="3">
        <f>IF(tblTender[[#This Row],[Status]]="Win",1,0)</f>
        <v>1</v>
      </c>
      <c r="N36" s="3">
        <f>IF(tblTender[[#This Row],[Status]]="Loss",1,0)</f>
        <v>0</v>
      </c>
      <c r="O36" t="s">
        <v>25</v>
      </c>
      <c r="P36" t="s">
        <v>26</v>
      </c>
      <c r="Q36" t="s">
        <v>27</v>
      </c>
      <c r="R36" s="3">
        <v>1</v>
      </c>
      <c r="S36" t="s">
        <v>39</v>
      </c>
      <c r="T36" t="s">
        <v>123</v>
      </c>
    </row>
    <row r="37" spans="1:20" x14ac:dyDescent="0.25">
      <c r="A37" t="s">
        <v>126</v>
      </c>
      <c r="B37" s="1">
        <v>45048</v>
      </c>
      <c r="C37" t="s">
        <v>19</v>
      </c>
      <c r="D37" t="s">
        <v>54</v>
      </c>
      <c r="E37" t="s">
        <v>49</v>
      </c>
      <c r="F37" t="s">
        <v>127</v>
      </c>
      <c r="G37" t="s">
        <v>35</v>
      </c>
      <c r="H37" s="2">
        <v>395000000</v>
      </c>
      <c r="I37" s="2">
        <v>405000000</v>
      </c>
      <c r="J37" s="5">
        <v>17.8</v>
      </c>
      <c r="K37" s="3">
        <v>45</v>
      </c>
      <c r="L37" s="3" t="s">
        <v>36</v>
      </c>
      <c r="M37" s="3">
        <f>IF(tblTender[[#This Row],[Status]]="Win",1,0)</f>
        <v>0</v>
      </c>
      <c r="N37" s="3">
        <f>IF(tblTender[[#This Row],[Status]]="Loss",1,0)</f>
        <v>1</v>
      </c>
      <c r="O37" t="s">
        <v>37</v>
      </c>
      <c r="P37" t="s">
        <v>38</v>
      </c>
      <c r="Q37" t="s">
        <v>27</v>
      </c>
      <c r="R37" s="3">
        <v>2</v>
      </c>
      <c r="S37" t="s">
        <v>45</v>
      </c>
      <c r="T37" t="s">
        <v>123</v>
      </c>
    </row>
    <row r="38" spans="1:20" x14ac:dyDescent="0.25">
      <c r="A38" t="s">
        <v>128</v>
      </c>
      <c r="B38" s="1">
        <v>45061</v>
      </c>
      <c r="C38" t="s">
        <v>47</v>
      </c>
      <c r="D38" t="s">
        <v>74</v>
      </c>
      <c r="E38" t="s">
        <v>77</v>
      </c>
      <c r="F38" t="s">
        <v>129</v>
      </c>
      <c r="G38" t="s">
        <v>35</v>
      </c>
      <c r="H38" s="2">
        <v>320000000</v>
      </c>
      <c r="I38" s="2">
        <v>310000000</v>
      </c>
      <c r="J38" s="5">
        <v>22</v>
      </c>
      <c r="K38" s="3">
        <v>30</v>
      </c>
      <c r="L38" s="3" t="s">
        <v>24</v>
      </c>
      <c r="M38" s="3">
        <f>IF(tblTender[[#This Row],[Status]]="Win",1,0)</f>
        <v>1</v>
      </c>
      <c r="N38" s="3">
        <f>IF(tblTender[[#This Row],[Status]]="Loss",1,0)</f>
        <v>0</v>
      </c>
      <c r="O38" t="s">
        <v>51</v>
      </c>
      <c r="P38" t="s">
        <v>26</v>
      </c>
      <c r="Q38" t="s">
        <v>27</v>
      </c>
      <c r="R38" s="3">
        <v>1</v>
      </c>
      <c r="S38" t="s">
        <v>52</v>
      </c>
      <c r="T38" t="s">
        <v>123</v>
      </c>
    </row>
    <row r="39" spans="1:20" x14ac:dyDescent="0.25">
      <c r="A39" t="s">
        <v>130</v>
      </c>
      <c r="B39" s="1">
        <v>45074</v>
      </c>
      <c r="C39" t="s">
        <v>19</v>
      </c>
      <c r="D39" t="s">
        <v>20</v>
      </c>
      <c r="E39" t="s">
        <v>55</v>
      </c>
      <c r="F39" t="s">
        <v>131</v>
      </c>
      <c r="G39" t="s">
        <v>57</v>
      </c>
      <c r="H39" s="2">
        <v>1380000000</v>
      </c>
      <c r="I39" s="2">
        <v>1420000000</v>
      </c>
      <c r="J39" s="5">
        <v>14.5</v>
      </c>
      <c r="K39" s="3">
        <v>75</v>
      </c>
      <c r="L39" s="3" t="s">
        <v>36</v>
      </c>
      <c r="M39" s="3">
        <f>IF(tblTender[[#This Row],[Status]]="Win",1,0)</f>
        <v>0</v>
      </c>
      <c r="N39" s="3">
        <f>IF(tblTender[[#This Row],[Status]]="Loss",1,0)</f>
        <v>1</v>
      </c>
      <c r="O39" t="s">
        <v>80</v>
      </c>
      <c r="P39" t="s">
        <v>38</v>
      </c>
      <c r="Q39" t="s">
        <v>27</v>
      </c>
      <c r="R39" s="3">
        <v>3</v>
      </c>
      <c r="S39" t="s">
        <v>28</v>
      </c>
      <c r="T39" t="s">
        <v>123</v>
      </c>
    </row>
    <row r="40" spans="1:20" x14ac:dyDescent="0.25">
      <c r="A40" t="s">
        <v>132</v>
      </c>
      <c r="B40" s="1">
        <v>45087</v>
      </c>
      <c r="C40" t="s">
        <v>31</v>
      </c>
      <c r="D40" t="s">
        <v>60</v>
      </c>
      <c r="E40" t="s">
        <v>21</v>
      </c>
      <c r="F40" t="s">
        <v>133</v>
      </c>
      <c r="G40" t="s">
        <v>35</v>
      </c>
      <c r="H40" s="2">
        <v>720000000</v>
      </c>
      <c r="I40" s="2">
        <v>705000000</v>
      </c>
      <c r="J40" s="5">
        <v>15.2</v>
      </c>
      <c r="K40" s="3">
        <v>55</v>
      </c>
      <c r="L40" s="3" t="s">
        <v>24</v>
      </c>
      <c r="M40" s="3">
        <f>IF(tblTender[[#This Row],[Status]]="Win",1,0)</f>
        <v>1</v>
      </c>
      <c r="N40" s="3">
        <f>IF(tblTender[[#This Row],[Status]]="Loss",1,0)</f>
        <v>0</v>
      </c>
      <c r="O40" t="s">
        <v>25</v>
      </c>
      <c r="P40" t="s">
        <v>26</v>
      </c>
      <c r="Q40" t="s">
        <v>27</v>
      </c>
      <c r="R40" s="3">
        <v>1</v>
      </c>
      <c r="S40" t="s">
        <v>45</v>
      </c>
      <c r="T40" t="s">
        <v>123</v>
      </c>
    </row>
    <row r="41" spans="1:20" x14ac:dyDescent="0.25">
      <c r="A41" t="s">
        <v>134</v>
      </c>
      <c r="B41" s="1">
        <v>45102</v>
      </c>
      <c r="C41" t="s">
        <v>19</v>
      </c>
      <c r="D41" t="s">
        <v>41</v>
      </c>
      <c r="E41" t="s">
        <v>33</v>
      </c>
      <c r="F41" t="s">
        <v>135</v>
      </c>
      <c r="G41" t="s">
        <v>35</v>
      </c>
      <c r="H41" s="2">
        <v>680000000</v>
      </c>
      <c r="I41" s="2">
        <v>695000000</v>
      </c>
      <c r="J41" s="5">
        <v>15.8</v>
      </c>
      <c r="K41" s="3">
        <v>45</v>
      </c>
      <c r="L41" s="3" t="s">
        <v>36</v>
      </c>
      <c r="M41" s="3">
        <f>IF(tblTender[[#This Row],[Status]]="Win",1,0)</f>
        <v>0</v>
      </c>
      <c r="N41" s="3">
        <f>IF(tblTender[[#This Row],[Status]]="Loss",1,0)</f>
        <v>1</v>
      </c>
      <c r="O41" t="s">
        <v>37</v>
      </c>
      <c r="P41" t="s">
        <v>38</v>
      </c>
      <c r="Q41" t="s">
        <v>27</v>
      </c>
      <c r="R41" s="3">
        <v>2</v>
      </c>
      <c r="S41" t="s">
        <v>52</v>
      </c>
      <c r="T41" t="s">
        <v>123</v>
      </c>
    </row>
    <row r="42" spans="1:20" x14ac:dyDescent="0.25">
      <c r="A42" t="s">
        <v>136</v>
      </c>
      <c r="B42" s="1">
        <v>45115</v>
      </c>
      <c r="C42" t="s">
        <v>19</v>
      </c>
      <c r="D42" t="s">
        <v>54</v>
      </c>
      <c r="E42" t="s">
        <v>21</v>
      </c>
      <c r="F42" t="s">
        <v>22</v>
      </c>
      <c r="G42" t="s">
        <v>35</v>
      </c>
      <c r="H42" s="2">
        <v>2450000000</v>
      </c>
      <c r="I42" s="2">
        <v>2380000000</v>
      </c>
      <c r="J42" s="5">
        <v>12.5</v>
      </c>
      <c r="K42" s="3">
        <v>90</v>
      </c>
      <c r="L42" s="3" t="s">
        <v>24</v>
      </c>
      <c r="M42" s="3">
        <f>IF(tblTender[[#This Row],[Status]]="Win",1,0)</f>
        <v>1</v>
      </c>
      <c r="N42" s="3">
        <f>IF(tblTender[[#This Row],[Status]]="Loss",1,0)</f>
        <v>0</v>
      </c>
      <c r="O42" t="s">
        <v>43</v>
      </c>
      <c r="P42" t="s">
        <v>26</v>
      </c>
      <c r="Q42" t="s">
        <v>27</v>
      </c>
      <c r="R42" s="3">
        <v>1</v>
      </c>
      <c r="S42" t="s">
        <v>28</v>
      </c>
      <c r="T42" t="s">
        <v>137</v>
      </c>
    </row>
    <row r="43" spans="1:20" x14ac:dyDescent="0.25">
      <c r="A43" t="s">
        <v>138</v>
      </c>
      <c r="B43" s="1">
        <v>45129</v>
      </c>
      <c r="C43" t="s">
        <v>47</v>
      </c>
      <c r="D43" t="s">
        <v>48</v>
      </c>
      <c r="E43" t="s">
        <v>33</v>
      </c>
      <c r="F43" t="s">
        <v>34</v>
      </c>
      <c r="G43" t="s">
        <v>35</v>
      </c>
      <c r="H43" s="2">
        <v>3850000000</v>
      </c>
      <c r="I43" s="2">
        <v>3780000000</v>
      </c>
      <c r="J43" s="5">
        <v>11.5</v>
      </c>
      <c r="K43" s="3">
        <v>120</v>
      </c>
      <c r="L43" s="3" t="s">
        <v>36</v>
      </c>
      <c r="M43" s="3">
        <f>IF(tblTender[[#This Row],[Status]]="Win",1,0)</f>
        <v>0</v>
      </c>
      <c r="N43" s="3">
        <f>IF(tblTender[[#This Row],[Status]]="Loss",1,0)</f>
        <v>1</v>
      </c>
      <c r="O43" t="s">
        <v>37</v>
      </c>
      <c r="P43" t="s">
        <v>38</v>
      </c>
      <c r="Q43" t="s">
        <v>27</v>
      </c>
      <c r="R43" s="3">
        <v>2</v>
      </c>
      <c r="S43" t="s">
        <v>39</v>
      </c>
      <c r="T43" t="s">
        <v>137</v>
      </c>
    </row>
    <row r="44" spans="1:20" x14ac:dyDescent="0.25">
      <c r="A44" t="s">
        <v>139</v>
      </c>
      <c r="B44" s="1">
        <v>45143</v>
      </c>
      <c r="C44" t="s">
        <v>19</v>
      </c>
      <c r="D44" t="s">
        <v>20</v>
      </c>
      <c r="E44" t="s">
        <v>49</v>
      </c>
      <c r="F44" t="s">
        <v>140</v>
      </c>
      <c r="G44" t="s">
        <v>35</v>
      </c>
      <c r="H44" s="2">
        <v>225000000</v>
      </c>
      <c r="I44" s="2">
        <v>218000000</v>
      </c>
      <c r="J44" s="5">
        <v>19.5</v>
      </c>
      <c r="K44" s="3">
        <v>35</v>
      </c>
      <c r="L44" s="3" t="s">
        <v>24</v>
      </c>
      <c r="M44" s="3">
        <f>IF(tblTender[[#This Row],[Status]]="Win",1,0)</f>
        <v>1</v>
      </c>
      <c r="N44" s="3">
        <f>IF(tblTender[[#This Row],[Status]]="Loss",1,0)</f>
        <v>0</v>
      </c>
      <c r="O44" t="s">
        <v>51</v>
      </c>
      <c r="P44" t="s">
        <v>26</v>
      </c>
      <c r="Q44" t="s">
        <v>44</v>
      </c>
      <c r="R44" s="3">
        <v>1</v>
      </c>
      <c r="S44" t="s">
        <v>45</v>
      </c>
      <c r="T44" t="s">
        <v>137</v>
      </c>
    </row>
    <row r="45" spans="1:20" x14ac:dyDescent="0.25">
      <c r="A45" t="s">
        <v>141</v>
      </c>
      <c r="B45" s="1">
        <v>45156</v>
      </c>
      <c r="C45" t="s">
        <v>31</v>
      </c>
      <c r="D45" t="s">
        <v>32</v>
      </c>
      <c r="E45" t="s">
        <v>55</v>
      </c>
      <c r="F45" t="s">
        <v>142</v>
      </c>
      <c r="G45" t="s">
        <v>35</v>
      </c>
      <c r="H45" s="2">
        <v>1180000000</v>
      </c>
      <c r="I45" s="2">
        <v>1145000000</v>
      </c>
      <c r="J45" s="5">
        <v>13.5</v>
      </c>
      <c r="K45" s="3">
        <v>70</v>
      </c>
      <c r="L45" s="3" t="s">
        <v>24</v>
      </c>
      <c r="M45" s="3">
        <f>IF(tblTender[[#This Row],[Status]]="Win",1,0)</f>
        <v>1</v>
      </c>
      <c r="N45" s="3">
        <f>IF(tblTender[[#This Row],[Status]]="Loss",1,0)</f>
        <v>0</v>
      </c>
      <c r="O45" t="s">
        <v>25</v>
      </c>
      <c r="P45" t="s">
        <v>26</v>
      </c>
      <c r="Q45" t="s">
        <v>27</v>
      </c>
      <c r="R45" s="3">
        <v>1</v>
      </c>
      <c r="S45" t="s">
        <v>28</v>
      </c>
      <c r="T45" t="s">
        <v>137</v>
      </c>
    </row>
    <row r="46" spans="1:20" x14ac:dyDescent="0.25">
      <c r="A46" t="s">
        <v>143</v>
      </c>
      <c r="B46" s="1">
        <v>45171</v>
      </c>
      <c r="C46" t="s">
        <v>19</v>
      </c>
      <c r="D46" t="s">
        <v>48</v>
      </c>
      <c r="E46" t="s">
        <v>33</v>
      </c>
      <c r="F46" t="s">
        <v>42</v>
      </c>
      <c r="G46" t="s">
        <v>23</v>
      </c>
      <c r="H46" s="2">
        <v>1950000000</v>
      </c>
      <c r="I46" s="2">
        <v>1895000000</v>
      </c>
      <c r="J46" s="5">
        <v>12.8</v>
      </c>
      <c r="K46" s="3">
        <v>85</v>
      </c>
      <c r="L46" s="3" t="s">
        <v>24</v>
      </c>
      <c r="M46" s="3">
        <f>IF(tblTender[[#This Row],[Status]]="Win",1,0)</f>
        <v>1</v>
      </c>
      <c r="N46" s="3">
        <f>IF(tblTender[[#This Row],[Status]]="Loss",1,0)</f>
        <v>0</v>
      </c>
      <c r="O46" t="s">
        <v>25</v>
      </c>
      <c r="P46" t="s">
        <v>26</v>
      </c>
      <c r="Q46" t="s">
        <v>27</v>
      </c>
      <c r="R46" s="3">
        <v>2</v>
      </c>
      <c r="S46" t="s">
        <v>45</v>
      </c>
      <c r="T46" t="s">
        <v>137</v>
      </c>
    </row>
    <row r="47" spans="1:20" x14ac:dyDescent="0.25">
      <c r="A47" t="s">
        <v>144</v>
      </c>
      <c r="B47" s="1">
        <v>45184</v>
      </c>
      <c r="C47" t="s">
        <v>47</v>
      </c>
      <c r="D47" t="s">
        <v>65</v>
      </c>
      <c r="E47" t="s">
        <v>21</v>
      </c>
      <c r="F47" t="s">
        <v>75</v>
      </c>
      <c r="G47" t="s">
        <v>35</v>
      </c>
      <c r="H47" s="2">
        <v>820000000</v>
      </c>
      <c r="I47" s="2">
        <v>805000000</v>
      </c>
      <c r="J47" s="5">
        <v>14.2</v>
      </c>
      <c r="K47" s="3">
        <v>60</v>
      </c>
      <c r="L47" s="3" t="s">
        <v>24</v>
      </c>
      <c r="M47" s="3">
        <f>IF(tblTender[[#This Row],[Status]]="Win",1,0)</f>
        <v>1</v>
      </c>
      <c r="N47" s="3">
        <f>IF(tblTender[[#This Row],[Status]]="Loss",1,0)</f>
        <v>0</v>
      </c>
      <c r="O47" t="s">
        <v>43</v>
      </c>
      <c r="P47" t="s">
        <v>26</v>
      </c>
      <c r="Q47" t="s">
        <v>27</v>
      </c>
      <c r="R47" s="3">
        <v>1</v>
      </c>
      <c r="S47" t="s">
        <v>28</v>
      </c>
      <c r="T47" t="s">
        <v>137</v>
      </c>
    </row>
    <row r="48" spans="1:20" x14ac:dyDescent="0.25">
      <c r="A48" t="s">
        <v>145</v>
      </c>
      <c r="B48" s="1">
        <v>45197</v>
      </c>
      <c r="C48" t="s">
        <v>19</v>
      </c>
      <c r="D48" t="s">
        <v>41</v>
      </c>
      <c r="E48" t="s">
        <v>77</v>
      </c>
      <c r="F48" t="s">
        <v>146</v>
      </c>
      <c r="G48" t="s">
        <v>35</v>
      </c>
      <c r="H48" s="2">
        <v>145000000</v>
      </c>
      <c r="I48" s="2">
        <v>142000000</v>
      </c>
      <c r="J48" s="5">
        <v>24.5</v>
      </c>
      <c r="K48" s="3">
        <v>25</v>
      </c>
      <c r="L48" s="3" t="s">
        <v>24</v>
      </c>
      <c r="M48" s="3">
        <f>IF(tblTender[[#This Row],[Status]]="Win",1,0)</f>
        <v>1</v>
      </c>
      <c r="N48" s="3">
        <f>IF(tblTender[[#This Row],[Status]]="Loss",1,0)</f>
        <v>0</v>
      </c>
      <c r="O48" t="s">
        <v>51</v>
      </c>
      <c r="P48" t="s">
        <v>26</v>
      </c>
      <c r="Q48" t="s">
        <v>44</v>
      </c>
      <c r="R48" s="3">
        <v>1</v>
      </c>
      <c r="S48" t="s">
        <v>52</v>
      </c>
      <c r="T48" t="s">
        <v>137</v>
      </c>
    </row>
    <row r="49" spans="1:20" x14ac:dyDescent="0.25">
      <c r="A49" t="s">
        <v>147</v>
      </c>
      <c r="B49" s="1">
        <v>45211</v>
      </c>
      <c r="C49" t="s">
        <v>31</v>
      </c>
      <c r="D49" t="s">
        <v>60</v>
      </c>
      <c r="E49" t="s">
        <v>33</v>
      </c>
      <c r="F49" t="s">
        <v>83</v>
      </c>
      <c r="G49" t="s">
        <v>35</v>
      </c>
      <c r="H49" s="2">
        <v>2250000000</v>
      </c>
      <c r="I49" s="2">
        <v>2310000000</v>
      </c>
      <c r="J49" s="5">
        <v>12</v>
      </c>
      <c r="K49" s="3">
        <v>110</v>
      </c>
      <c r="L49" s="3" t="s">
        <v>36</v>
      </c>
      <c r="M49" s="3">
        <f>IF(tblTender[[#This Row],[Status]]="Win",1,0)</f>
        <v>0</v>
      </c>
      <c r="N49" s="3">
        <f>IF(tblTender[[#This Row],[Status]]="Loss",1,0)</f>
        <v>1</v>
      </c>
      <c r="O49" t="s">
        <v>37</v>
      </c>
      <c r="P49" t="s">
        <v>38</v>
      </c>
      <c r="Q49" t="s">
        <v>27</v>
      </c>
      <c r="R49" s="3">
        <v>3</v>
      </c>
      <c r="S49" t="s">
        <v>39</v>
      </c>
      <c r="T49" t="s">
        <v>148</v>
      </c>
    </row>
    <row r="50" spans="1:20" x14ac:dyDescent="0.25">
      <c r="A50" t="s">
        <v>149</v>
      </c>
      <c r="B50" s="1">
        <v>45224</v>
      </c>
      <c r="C50" t="s">
        <v>19</v>
      </c>
      <c r="D50" t="s">
        <v>20</v>
      </c>
      <c r="E50" t="s">
        <v>49</v>
      </c>
      <c r="F50" t="s">
        <v>150</v>
      </c>
      <c r="G50" t="s">
        <v>57</v>
      </c>
      <c r="H50" s="2">
        <v>1350000000</v>
      </c>
      <c r="I50" s="2">
        <v>1310000000</v>
      </c>
      <c r="J50" s="5">
        <v>15.5</v>
      </c>
      <c r="K50" s="3">
        <v>80</v>
      </c>
      <c r="L50" s="3" t="s">
        <v>24</v>
      </c>
      <c r="M50" s="3">
        <f>IF(tblTender[[#This Row],[Status]]="Win",1,0)</f>
        <v>1</v>
      </c>
      <c r="N50" s="3">
        <f>IF(tblTender[[#This Row],[Status]]="Loss",1,0)</f>
        <v>0</v>
      </c>
      <c r="O50" t="s">
        <v>25</v>
      </c>
      <c r="P50" t="s">
        <v>26</v>
      </c>
      <c r="Q50" t="s">
        <v>27</v>
      </c>
      <c r="R50" s="3">
        <v>2</v>
      </c>
      <c r="S50" t="s">
        <v>45</v>
      </c>
      <c r="T50" t="s">
        <v>148</v>
      </c>
    </row>
    <row r="51" spans="1:20" x14ac:dyDescent="0.25">
      <c r="A51" t="s">
        <v>151</v>
      </c>
      <c r="B51" s="1">
        <v>45238</v>
      </c>
      <c r="C51" t="s">
        <v>47</v>
      </c>
      <c r="D51" t="s">
        <v>74</v>
      </c>
      <c r="E51" t="s">
        <v>21</v>
      </c>
      <c r="F51" t="s">
        <v>152</v>
      </c>
      <c r="G51" t="s">
        <v>35</v>
      </c>
      <c r="H51" s="2">
        <v>580000000</v>
      </c>
      <c r="I51" s="2">
        <v>565000000</v>
      </c>
      <c r="J51" s="5">
        <v>15.8</v>
      </c>
      <c r="K51" s="3">
        <v>50</v>
      </c>
      <c r="L51" s="3" t="s">
        <v>24</v>
      </c>
      <c r="M51" s="3">
        <f>IF(tblTender[[#This Row],[Status]]="Win",1,0)</f>
        <v>1</v>
      </c>
      <c r="N51" s="3">
        <f>IF(tblTender[[#This Row],[Status]]="Loss",1,0)</f>
        <v>0</v>
      </c>
      <c r="O51" t="s">
        <v>51</v>
      </c>
      <c r="P51" t="s">
        <v>26</v>
      </c>
      <c r="Q51" t="s">
        <v>27</v>
      </c>
      <c r="R51" s="3">
        <v>1</v>
      </c>
      <c r="S51" t="s">
        <v>52</v>
      </c>
      <c r="T51" t="s">
        <v>148</v>
      </c>
    </row>
    <row r="52" spans="1:20" x14ac:dyDescent="0.25">
      <c r="A52" t="s">
        <v>153</v>
      </c>
      <c r="B52" s="1">
        <v>45252</v>
      </c>
      <c r="C52" t="s">
        <v>19</v>
      </c>
      <c r="D52" t="s">
        <v>54</v>
      </c>
      <c r="E52" t="s">
        <v>55</v>
      </c>
      <c r="F52" t="s">
        <v>154</v>
      </c>
      <c r="G52" t="s">
        <v>35</v>
      </c>
      <c r="H52" s="2">
        <v>750000000</v>
      </c>
      <c r="I52" s="2">
        <v>735000000</v>
      </c>
      <c r="J52" s="5">
        <v>14.8</v>
      </c>
      <c r="K52" s="3">
        <v>55</v>
      </c>
      <c r="L52" s="3" t="s">
        <v>24</v>
      </c>
      <c r="M52" s="3">
        <f>IF(tblTender[[#This Row],[Status]]="Win",1,0)</f>
        <v>1</v>
      </c>
      <c r="N52" s="3">
        <f>IF(tblTender[[#This Row],[Status]]="Loss",1,0)</f>
        <v>0</v>
      </c>
      <c r="O52" t="s">
        <v>25</v>
      </c>
      <c r="P52" t="s">
        <v>26</v>
      </c>
      <c r="Q52" t="s">
        <v>27</v>
      </c>
      <c r="R52" s="3">
        <v>1</v>
      </c>
      <c r="S52" t="s">
        <v>28</v>
      </c>
      <c r="T52" t="s">
        <v>148</v>
      </c>
    </row>
    <row r="53" spans="1:20" x14ac:dyDescent="0.25">
      <c r="A53" t="s">
        <v>155</v>
      </c>
      <c r="B53" s="1">
        <v>45265</v>
      </c>
      <c r="C53" t="s">
        <v>31</v>
      </c>
      <c r="D53" t="s">
        <v>32</v>
      </c>
      <c r="E53" t="s">
        <v>33</v>
      </c>
      <c r="F53" t="s">
        <v>156</v>
      </c>
      <c r="G53" t="s">
        <v>35</v>
      </c>
      <c r="H53" s="2">
        <v>1180000000</v>
      </c>
      <c r="I53" s="2">
        <v>1210000000</v>
      </c>
      <c r="J53" s="5">
        <v>13.2</v>
      </c>
      <c r="K53" s="3">
        <v>75</v>
      </c>
      <c r="L53" s="3" t="s">
        <v>36</v>
      </c>
      <c r="M53" s="3">
        <f>IF(tblTender[[#This Row],[Status]]="Win",1,0)</f>
        <v>0</v>
      </c>
      <c r="N53" s="3">
        <f>IF(tblTender[[#This Row],[Status]]="Loss",1,0)</f>
        <v>1</v>
      </c>
      <c r="O53" t="s">
        <v>37</v>
      </c>
      <c r="P53" t="s">
        <v>38</v>
      </c>
      <c r="Q53" t="s">
        <v>27</v>
      </c>
      <c r="R53" s="3">
        <v>2</v>
      </c>
      <c r="S53" t="s">
        <v>45</v>
      </c>
      <c r="T53" t="s">
        <v>148</v>
      </c>
    </row>
    <row r="54" spans="1:20" x14ac:dyDescent="0.25">
      <c r="A54" t="s">
        <v>157</v>
      </c>
      <c r="B54" s="1">
        <v>45278</v>
      </c>
      <c r="C54" t="s">
        <v>19</v>
      </c>
      <c r="D54" t="s">
        <v>41</v>
      </c>
      <c r="E54" t="s">
        <v>21</v>
      </c>
      <c r="F54" t="s">
        <v>91</v>
      </c>
      <c r="G54" t="s">
        <v>35</v>
      </c>
      <c r="H54" s="2">
        <v>950000000</v>
      </c>
      <c r="I54" s="2">
        <v>925000000</v>
      </c>
      <c r="J54" s="5">
        <v>14.5</v>
      </c>
      <c r="K54" s="3">
        <v>65</v>
      </c>
      <c r="L54" s="3" t="s">
        <v>24</v>
      </c>
      <c r="M54" s="3">
        <f>IF(tblTender[[#This Row],[Status]]="Win",1,0)</f>
        <v>1</v>
      </c>
      <c r="N54" s="3">
        <f>IF(tblTender[[#This Row],[Status]]="Loss",1,0)</f>
        <v>0</v>
      </c>
      <c r="O54" t="s">
        <v>43</v>
      </c>
      <c r="P54" t="s">
        <v>26</v>
      </c>
      <c r="Q54" t="s">
        <v>27</v>
      </c>
      <c r="R54" s="3">
        <v>1</v>
      </c>
      <c r="S54" t="s">
        <v>28</v>
      </c>
      <c r="T54" t="s">
        <v>148</v>
      </c>
    </row>
    <row r="55" spans="1:20" x14ac:dyDescent="0.25">
      <c r="A55" t="s">
        <v>158</v>
      </c>
      <c r="B55" s="1">
        <v>45303</v>
      </c>
      <c r="C55" t="s">
        <v>19</v>
      </c>
      <c r="D55" t="s">
        <v>48</v>
      </c>
      <c r="E55" t="s">
        <v>33</v>
      </c>
      <c r="F55" t="s">
        <v>34</v>
      </c>
      <c r="G55" t="s">
        <v>23</v>
      </c>
      <c r="H55" s="2">
        <v>4150000000</v>
      </c>
      <c r="I55" s="2">
        <v>4060000000</v>
      </c>
      <c r="J55" s="5">
        <v>11</v>
      </c>
      <c r="K55" s="3">
        <v>130</v>
      </c>
      <c r="L55" s="3" t="s">
        <v>24</v>
      </c>
      <c r="M55" s="3">
        <f>IF(tblTender[[#This Row],[Status]]="Win",1,0)</f>
        <v>1</v>
      </c>
      <c r="N55" s="3">
        <f>IF(tblTender[[#This Row],[Status]]="Loss",1,0)</f>
        <v>0</v>
      </c>
      <c r="O55" t="s">
        <v>25</v>
      </c>
      <c r="P55" t="s">
        <v>26</v>
      </c>
      <c r="Q55" t="s">
        <v>27</v>
      </c>
      <c r="R55" s="3">
        <v>2</v>
      </c>
      <c r="S55" t="s">
        <v>39</v>
      </c>
      <c r="T55" t="s">
        <v>159</v>
      </c>
    </row>
    <row r="56" spans="1:20" x14ac:dyDescent="0.25">
      <c r="A56" t="s">
        <v>160</v>
      </c>
      <c r="B56" s="1">
        <v>45317</v>
      </c>
      <c r="C56" t="s">
        <v>47</v>
      </c>
      <c r="D56" t="s">
        <v>65</v>
      </c>
      <c r="E56" t="s">
        <v>49</v>
      </c>
      <c r="F56" t="s">
        <v>161</v>
      </c>
      <c r="G56" t="s">
        <v>35</v>
      </c>
      <c r="H56" s="2">
        <v>1280000000</v>
      </c>
      <c r="I56" s="2">
        <v>1320000000</v>
      </c>
      <c r="J56" s="5">
        <v>15</v>
      </c>
      <c r="K56" s="3">
        <v>80</v>
      </c>
      <c r="L56" s="3" t="s">
        <v>36</v>
      </c>
      <c r="M56" s="3">
        <f>IF(tblTender[[#This Row],[Status]]="Win",1,0)</f>
        <v>0</v>
      </c>
      <c r="N56" s="3">
        <f>IF(tblTender[[#This Row],[Status]]="Loss",1,0)</f>
        <v>1</v>
      </c>
      <c r="O56" t="s">
        <v>37</v>
      </c>
      <c r="P56" t="s">
        <v>38</v>
      </c>
      <c r="Q56" t="s">
        <v>27</v>
      </c>
      <c r="R56" s="3">
        <v>3</v>
      </c>
      <c r="S56" t="s">
        <v>45</v>
      </c>
      <c r="T56" t="s">
        <v>159</v>
      </c>
    </row>
    <row r="57" spans="1:20" x14ac:dyDescent="0.25">
      <c r="A57" t="s">
        <v>162</v>
      </c>
      <c r="B57" s="1">
        <v>45331</v>
      </c>
      <c r="C57" t="s">
        <v>19</v>
      </c>
      <c r="D57" t="s">
        <v>20</v>
      </c>
      <c r="E57" t="s">
        <v>77</v>
      </c>
      <c r="F57" t="s">
        <v>108</v>
      </c>
      <c r="G57" t="s">
        <v>35</v>
      </c>
      <c r="H57" s="2">
        <v>195000000</v>
      </c>
      <c r="I57" s="2">
        <v>188000000</v>
      </c>
      <c r="J57" s="5">
        <v>23.5</v>
      </c>
      <c r="K57" s="3">
        <v>30</v>
      </c>
      <c r="L57" s="3" t="s">
        <v>24</v>
      </c>
      <c r="M57" s="3">
        <f>IF(tblTender[[#This Row],[Status]]="Win",1,0)</f>
        <v>1</v>
      </c>
      <c r="N57" s="3">
        <f>IF(tblTender[[#This Row],[Status]]="Loss",1,0)</f>
        <v>0</v>
      </c>
      <c r="O57" t="s">
        <v>51</v>
      </c>
      <c r="P57" t="s">
        <v>26</v>
      </c>
      <c r="Q57" t="s">
        <v>27</v>
      </c>
      <c r="R57" s="3">
        <v>1</v>
      </c>
      <c r="S57" t="s">
        <v>52</v>
      </c>
      <c r="T57" t="s">
        <v>159</v>
      </c>
    </row>
    <row r="58" spans="1:20" x14ac:dyDescent="0.25">
      <c r="A58" t="s">
        <v>163</v>
      </c>
      <c r="B58" s="1">
        <v>45345</v>
      </c>
      <c r="C58" t="s">
        <v>31</v>
      </c>
      <c r="D58" t="s">
        <v>60</v>
      </c>
      <c r="E58" t="s">
        <v>55</v>
      </c>
      <c r="F58" t="s">
        <v>70</v>
      </c>
      <c r="G58" t="s">
        <v>35</v>
      </c>
      <c r="H58" s="2">
        <v>650000000</v>
      </c>
      <c r="I58" s="2">
        <v>635000000</v>
      </c>
      <c r="J58" s="5">
        <v>15.5</v>
      </c>
      <c r="K58" s="3">
        <v>55</v>
      </c>
      <c r="L58" s="3" t="s">
        <v>24</v>
      </c>
      <c r="M58" s="3">
        <f>IF(tblTender[[#This Row],[Status]]="Win",1,0)</f>
        <v>1</v>
      </c>
      <c r="N58" s="3">
        <f>IF(tblTender[[#This Row],[Status]]="Loss",1,0)</f>
        <v>0</v>
      </c>
      <c r="O58" t="s">
        <v>25</v>
      </c>
      <c r="P58" t="s">
        <v>26</v>
      </c>
      <c r="Q58" t="s">
        <v>27</v>
      </c>
      <c r="R58" s="3">
        <v>1</v>
      </c>
      <c r="S58" t="s">
        <v>45</v>
      </c>
      <c r="T58" t="s">
        <v>159</v>
      </c>
    </row>
    <row r="59" spans="1:20" x14ac:dyDescent="0.25">
      <c r="A59" t="s">
        <v>164</v>
      </c>
      <c r="B59" s="1">
        <v>45359</v>
      </c>
      <c r="C59" t="s">
        <v>19</v>
      </c>
      <c r="D59" t="s">
        <v>54</v>
      </c>
      <c r="E59" t="s">
        <v>33</v>
      </c>
      <c r="F59" t="s">
        <v>165</v>
      </c>
      <c r="G59" t="s">
        <v>57</v>
      </c>
      <c r="H59" s="2">
        <v>580000000</v>
      </c>
      <c r="I59" s="2">
        <v>595000000</v>
      </c>
      <c r="J59" s="5">
        <v>15.8</v>
      </c>
      <c r="K59" s="3">
        <v>45</v>
      </c>
      <c r="L59" s="3" t="s">
        <v>36</v>
      </c>
      <c r="M59" s="3">
        <f>IF(tblTender[[#This Row],[Status]]="Win",1,0)</f>
        <v>0</v>
      </c>
      <c r="N59" s="3">
        <f>IF(tblTender[[#This Row],[Status]]="Loss",1,0)</f>
        <v>1</v>
      </c>
      <c r="O59" t="s">
        <v>37</v>
      </c>
      <c r="P59" t="s">
        <v>38</v>
      </c>
      <c r="Q59" t="s">
        <v>27</v>
      </c>
      <c r="R59" s="3">
        <v>2</v>
      </c>
      <c r="S59" t="s">
        <v>28</v>
      </c>
      <c r="T59" t="s">
        <v>159</v>
      </c>
    </row>
    <row r="60" spans="1:20" x14ac:dyDescent="0.25">
      <c r="A60" t="s">
        <v>166</v>
      </c>
      <c r="B60" s="1">
        <v>45373</v>
      </c>
      <c r="C60" t="s">
        <v>47</v>
      </c>
      <c r="D60" t="s">
        <v>48</v>
      </c>
      <c r="E60" t="s">
        <v>21</v>
      </c>
      <c r="F60" t="s">
        <v>121</v>
      </c>
      <c r="G60" t="s">
        <v>35</v>
      </c>
      <c r="H60" s="2">
        <v>720000000</v>
      </c>
      <c r="I60" s="2">
        <v>705000000</v>
      </c>
      <c r="J60" s="5">
        <v>14.5</v>
      </c>
      <c r="K60" s="3">
        <v>60</v>
      </c>
      <c r="L60" s="3" t="s">
        <v>24</v>
      </c>
      <c r="M60" s="3">
        <f>IF(tblTender[[#This Row],[Status]]="Win",1,0)</f>
        <v>1</v>
      </c>
      <c r="N60" s="3">
        <f>IF(tblTender[[#This Row],[Status]]="Loss",1,0)</f>
        <v>0</v>
      </c>
      <c r="O60" t="s">
        <v>43</v>
      </c>
      <c r="P60" t="s">
        <v>26</v>
      </c>
      <c r="Q60" t="s">
        <v>27</v>
      </c>
      <c r="R60" s="3">
        <v>1</v>
      </c>
      <c r="S60" t="s">
        <v>45</v>
      </c>
      <c r="T60" t="s">
        <v>159</v>
      </c>
    </row>
    <row r="61" spans="1:20" x14ac:dyDescent="0.25">
      <c r="A61" t="s">
        <v>167</v>
      </c>
      <c r="B61" s="1">
        <v>45387</v>
      </c>
      <c r="C61" t="s">
        <v>19</v>
      </c>
      <c r="D61" t="s">
        <v>41</v>
      </c>
      <c r="E61" t="s">
        <v>21</v>
      </c>
      <c r="F61" t="s">
        <v>22</v>
      </c>
      <c r="G61" t="s">
        <v>23</v>
      </c>
      <c r="H61" s="2">
        <v>3250000000</v>
      </c>
      <c r="I61" s="2">
        <v>3180000000</v>
      </c>
      <c r="J61" s="5">
        <v>11.8</v>
      </c>
      <c r="K61" s="3">
        <v>100</v>
      </c>
      <c r="L61" s="3" t="s">
        <v>24</v>
      </c>
      <c r="M61" s="3">
        <f>IF(tblTender[[#This Row],[Status]]="Win",1,0)</f>
        <v>1</v>
      </c>
      <c r="N61" s="3">
        <f>IF(tblTender[[#This Row],[Status]]="Loss",1,0)</f>
        <v>0</v>
      </c>
      <c r="O61" t="s">
        <v>25</v>
      </c>
      <c r="P61" t="s">
        <v>26</v>
      </c>
      <c r="Q61" t="s">
        <v>27</v>
      </c>
      <c r="R61" s="3">
        <v>2</v>
      </c>
      <c r="S61" t="s">
        <v>28</v>
      </c>
      <c r="T61" t="s">
        <v>168</v>
      </c>
    </row>
    <row r="62" spans="1:20" x14ac:dyDescent="0.25">
      <c r="A62" t="s">
        <v>169</v>
      </c>
      <c r="B62" s="1">
        <v>45401</v>
      </c>
      <c r="C62" t="s">
        <v>31</v>
      </c>
      <c r="D62" t="s">
        <v>32</v>
      </c>
      <c r="E62" t="s">
        <v>33</v>
      </c>
      <c r="F62" t="s">
        <v>170</v>
      </c>
      <c r="G62" t="s">
        <v>23</v>
      </c>
      <c r="H62" s="2">
        <v>2850000000</v>
      </c>
      <c r="I62" s="2">
        <v>2920000000</v>
      </c>
      <c r="J62" s="5">
        <v>12.5</v>
      </c>
      <c r="K62" s="3">
        <v>95</v>
      </c>
      <c r="L62" s="3" t="s">
        <v>36</v>
      </c>
      <c r="M62" s="3">
        <f>IF(tblTender[[#This Row],[Status]]="Win",1,0)</f>
        <v>0</v>
      </c>
      <c r="N62" s="3">
        <f>IF(tblTender[[#This Row],[Status]]="Loss",1,0)</f>
        <v>1</v>
      </c>
      <c r="O62" t="s">
        <v>37</v>
      </c>
      <c r="P62" t="s">
        <v>38</v>
      </c>
      <c r="Q62" t="s">
        <v>27</v>
      </c>
      <c r="R62" s="3">
        <v>3</v>
      </c>
      <c r="S62" t="s">
        <v>39</v>
      </c>
      <c r="T62" t="s">
        <v>168</v>
      </c>
    </row>
    <row r="63" spans="1:20" x14ac:dyDescent="0.25">
      <c r="A63" t="s">
        <v>171</v>
      </c>
      <c r="B63" s="1">
        <v>45415</v>
      </c>
      <c r="C63" t="s">
        <v>19</v>
      </c>
      <c r="D63" t="s">
        <v>20</v>
      </c>
      <c r="E63" t="s">
        <v>49</v>
      </c>
      <c r="F63" t="s">
        <v>172</v>
      </c>
      <c r="G63" t="s">
        <v>35</v>
      </c>
      <c r="H63" s="2">
        <v>285000000</v>
      </c>
      <c r="I63" s="2">
        <v>278000000</v>
      </c>
      <c r="J63" s="5">
        <v>19</v>
      </c>
      <c r="K63" s="3">
        <v>35</v>
      </c>
      <c r="L63" s="3" t="s">
        <v>24</v>
      </c>
      <c r="M63" s="3">
        <f>IF(tblTender[[#This Row],[Status]]="Win",1,0)</f>
        <v>1</v>
      </c>
      <c r="N63" s="3">
        <f>IF(tblTender[[#This Row],[Status]]="Loss",1,0)</f>
        <v>0</v>
      </c>
      <c r="O63" t="s">
        <v>51</v>
      </c>
      <c r="P63" t="s">
        <v>26</v>
      </c>
      <c r="Q63" t="s">
        <v>44</v>
      </c>
      <c r="R63" s="3">
        <v>1</v>
      </c>
      <c r="S63" t="s">
        <v>45</v>
      </c>
      <c r="T63" t="s">
        <v>168</v>
      </c>
    </row>
    <row r="64" spans="1:20" x14ac:dyDescent="0.25">
      <c r="A64" t="s">
        <v>173</v>
      </c>
      <c r="B64" s="1">
        <v>45429</v>
      </c>
      <c r="C64" t="s">
        <v>47</v>
      </c>
      <c r="D64" t="s">
        <v>74</v>
      </c>
      <c r="E64" t="s">
        <v>77</v>
      </c>
      <c r="F64" t="s">
        <v>174</v>
      </c>
      <c r="G64" t="s">
        <v>35</v>
      </c>
      <c r="H64" s="2">
        <v>420000000</v>
      </c>
      <c r="I64" s="2">
        <v>410000000</v>
      </c>
      <c r="J64" s="5">
        <v>21.5</v>
      </c>
      <c r="K64" s="3">
        <v>30</v>
      </c>
      <c r="L64" s="3" t="s">
        <v>24</v>
      </c>
      <c r="M64" s="3">
        <f>IF(tblTender[[#This Row],[Status]]="Win",1,0)</f>
        <v>1</v>
      </c>
      <c r="N64" s="3">
        <f>IF(tblTender[[#This Row],[Status]]="Loss",1,0)</f>
        <v>0</v>
      </c>
      <c r="O64" t="s">
        <v>51</v>
      </c>
      <c r="P64" t="s">
        <v>26</v>
      </c>
      <c r="Q64" t="s">
        <v>27</v>
      </c>
      <c r="R64" s="3">
        <v>1</v>
      </c>
      <c r="S64" t="s">
        <v>52</v>
      </c>
      <c r="T64" t="s">
        <v>168</v>
      </c>
    </row>
    <row r="65" spans="1:20" x14ac:dyDescent="0.25">
      <c r="A65" t="s">
        <v>175</v>
      </c>
      <c r="B65" s="1">
        <v>45442</v>
      </c>
      <c r="C65" t="s">
        <v>19</v>
      </c>
      <c r="D65" t="s">
        <v>48</v>
      </c>
      <c r="E65" t="s">
        <v>55</v>
      </c>
      <c r="F65" t="s">
        <v>56</v>
      </c>
      <c r="G65" t="s">
        <v>35</v>
      </c>
      <c r="H65" s="2">
        <v>1080000000</v>
      </c>
      <c r="I65" s="2">
        <v>1115000000</v>
      </c>
      <c r="J65" s="5">
        <v>14.5</v>
      </c>
      <c r="K65" s="3">
        <v>70</v>
      </c>
      <c r="L65" s="3" t="s">
        <v>36</v>
      </c>
      <c r="M65" s="3">
        <f>IF(tblTender[[#This Row],[Status]]="Win",1,0)</f>
        <v>0</v>
      </c>
      <c r="N65" s="3">
        <f>IF(tblTender[[#This Row],[Status]]="Loss",1,0)</f>
        <v>1</v>
      </c>
      <c r="O65" t="s">
        <v>80</v>
      </c>
      <c r="P65" t="s">
        <v>38</v>
      </c>
      <c r="Q65" t="s">
        <v>27</v>
      </c>
      <c r="R65" s="3">
        <v>2</v>
      </c>
      <c r="S65" t="s">
        <v>28</v>
      </c>
      <c r="T65" t="s">
        <v>168</v>
      </c>
    </row>
    <row r="66" spans="1:20" x14ac:dyDescent="0.25">
      <c r="A66" t="s">
        <v>176</v>
      </c>
      <c r="B66" s="1">
        <v>45456</v>
      </c>
      <c r="C66" t="s">
        <v>31</v>
      </c>
      <c r="D66" t="s">
        <v>60</v>
      </c>
      <c r="E66" t="s">
        <v>21</v>
      </c>
      <c r="F66" t="s">
        <v>152</v>
      </c>
      <c r="G66" t="s">
        <v>35</v>
      </c>
      <c r="H66" s="2">
        <v>820000000</v>
      </c>
      <c r="I66" s="2">
        <v>805000000</v>
      </c>
      <c r="J66" s="5">
        <v>15</v>
      </c>
      <c r="K66" s="3">
        <v>55</v>
      </c>
      <c r="L66" s="3" t="s">
        <v>24</v>
      </c>
      <c r="M66" s="3">
        <f>IF(tblTender[[#This Row],[Status]]="Win",1,0)</f>
        <v>1</v>
      </c>
      <c r="N66" s="3">
        <f>IF(tblTender[[#This Row],[Status]]="Loss",1,0)</f>
        <v>0</v>
      </c>
      <c r="O66" t="s">
        <v>25</v>
      </c>
      <c r="P66" t="s">
        <v>26</v>
      </c>
      <c r="Q66" t="s">
        <v>27</v>
      </c>
      <c r="R66" s="3">
        <v>1</v>
      </c>
      <c r="S66" t="s">
        <v>45</v>
      </c>
      <c r="T66" t="s">
        <v>168</v>
      </c>
    </row>
    <row r="67" spans="1:20" x14ac:dyDescent="0.25">
      <c r="A67" t="s">
        <v>177</v>
      </c>
      <c r="B67" s="1">
        <v>45470</v>
      </c>
      <c r="C67" t="s">
        <v>19</v>
      </c>
      <c r="D67" t="s">
        <v>54</v>
      </c>
      <c r="E67" t="s">
        <v>33</v>
      </c>
      <c r="F67" t="s">
        <v>178</v>
      </c>
      <c r="G67" t="s">
        <v>35</v>
      </c>
      <c r="H67" s="2">
        <v>1350000000</v>
      </c>
      <c r="I67" s="2">
        <v>1310000000</v>
      </c>
      <c r="J67" s="5">
        <v>13.5</v>
      </c>
      <c r="K67" s="3">
        <v>75</v>
      </c>
      <c r="L67" s="3" t="s">
        <v>24</v>
      </c>
      <c r="M67" s="3">
        <f>IF(tblTender[[#This Row],[Status]]="Win",1,0)</f>
        <v>1</v>
      </c>
      <c r="N67" s="3">
        <f>IF(tblTender[[#This Row],[Status]]="Loss",1,0)</f>
        <v>0</v>
      </c>
      <c r="O67" t="s">
        <v>43</v>
      </c>
      <c r="P67" t="s">
        <v>26</v>
      </c>
      <c r="Q67" t="s">
        <v>27</v>
      </c>
      <c r="R67" s="3">
        <v>1</v>
      </c>
      <c r="S67" t="s">
        <v>28</v>
      </c>
      <c r="T67" t="s">
        <v>168</v>
      </c>
    </row>
    <row r="68" spans="1:20" x14ac:dyDescent="0.25">
      <c r="A68" t="s">
        <v>179</v>
      </c>
      <c r="B68" s="1">
        <v>45483</v>
      </c>
      <c r="C68" t="s">
        <v>19</v>
      </c>
      <c r="D68" t="s">
        <v>20</v>
      </c>
      <c r="E68" t="s">
        <v>21</v>
      </c>
      <c r="F68" t="s">
        <v>110</v>
      </c>
      <c r="G68" t="s">
        <v>35</v>
      </c>
      <c r="H68" s="2">
        <v>2850000000</v>
      </c>
      <c r="I68" s="2">
        <v>2780000000</v>
      </c>
      <c r="J68" s="5">
        <v>12.2</v>
      </c>
      <c r="K68" s="3">
        <v>90</v>
      </c>
      <c r="L68" s="3" t="s">
        <v>24</v>
      </c>
      <c r="M68" s="3">
        <f>IF(tblTender[[#This Row],[Status]]="Win",1,0)</f>
        <v>1</v>
      </c>
      <c r="N68" s="3">
        <f>IF(tblTender[[#This Row],[Status]]="Loss",1,0)</f>
        <v>0</v>
      </c>
      <c r="O68" t="s">
        <v>25</v>
      </c>
      <c r="P68" t="s">
        <v>26</v>
      </c>
      <c r="Q68" t="s">
        <v>27</v>
      </c>
      <c r="R68" s="3">
        <v>2</v>
      </c>
      <c r="S68" t="s">
        <v>39</v>
      </c>
      <c r="T68" t="s">
        <v>180</v>
      </c>
    </row>
    <row r="69" spans="1:20" x14ac:dyDescent="0.25">
      <c r="A69" t="s">
        <v>181</v>
      </c>
      <c r="B69" s="1">
        <v>45497</v>
      </c>
      <c r="C69" t="s">
        <v>47</v>
      </c>
      <c r="D69" t="s">
        <v>65</v>
      </c>
      <c r="E69" t="s">
        <v>33</v>
      </c>
      <c r="F69" t="s">
        <v>182</v>
      </c>
      <c r="G69" t="s">
        <v>23</v>
      </c>
      <c r="H69" s="2">
        <v>7250000000</v>
      </c>
      <c r="I69" s="2">
        <v>7395000000</v>
      </c>
      <c r="J69" s="5">
        <v>10.5</v>
      </c>
      <c r="K69" s="3">
        <v>160</v>
      </c>
      <c r="L69" s="3" t="s">
        <v>36</v>
      </c>
      <c r="M69" s="3">
        <f>IF(tblTender[[#This Row],[Status]]="Win",1,0)</f>
        <v>0</v>
      </c>
      <c r="N69" s="3">
        <f>IF(tblTender[[#This Row],[Status]]="Loss",1,0)</f>
        <v>1</v>
      </c>
      <c r="O69" t="s">
        <v>37</v>
      </c>
      <c r="P69" t="s">
        <v>38</v>
      </c>
      <c r="Q69" t="s">
        <v>27</v>
      </c>
      <c r="R69" s="3">
        <v>3</v>
      </c>
      <c r="S69" t="s">
        <v>39</v>
      </c>
      <c r="T69" t="s">
        <v>180</v>
      </c>
    </row>
    <row r="70" spans="1:20" x14ac:dyDescent="0.25">
      <c r="A70" t="s">
        <v>183</v>
      </c>
      <c r="B70" s="1">
        <v>45511</v>
      </c>
      <c r="C70" t="s">
        <v>19</v>
      </c>
      <c r="D70" t="s">
        <v>41</v>
      </c>
      <c r="E70" t="s">
        <v>49</v>
      </c>
      <c r="F70" t="s">
        <v>184</v>
      </c>
      <c r="G70" t="s">
        <v>57</v>
      </c>
      <c r="H70" s="2">
        <v>1580000000</v>
      </c>
      <c r="I70" s="2">
        <v>1545000000</v>
      </c>
      <c r="J70" s="5">
        <v>15</v>
      </c>
      <c r="K70" s="3">
        <v>85</v>
      </c>
      <c r="L70" s="3" t="s">
        <v>24</v>
      </c>
      <c r="M70" s="3">
        <f>IF(tblTender[[#This Row],[Status]]="Win",1,0)</f>
        <v>1</v>
      </c>
      <c r="N70" s="3">
        <f>IF(tblTender[[#This Row],[Status]]="Loss",1,0)</f>
        <v>0</v>
      </c>
      <c r="O70" t="s">
        <v>25</v>
      </c>
      <c r="P70" t="s">
        <v>26</v>
      </c>
      <c r="Q70" t="s">
        <v>27</v>
      </c>
      <c r="R70" s="3">
        <v>2</v>
      </c>
      <c r="S70" t="s">
        <v>45</v>
      </c>
      <c r="T70" t="s">
        <v>180</v>
      </c>
    </row>
    <row r="71" spans="1:20" x14ac:dyDescent="0.25">
      <c r="A71" t="s">
        <v>185</v>
      </c>
      <c r="B71" s="1">
        <v>45525</v>
      </c>
      <c r="C71" t="s">
        <v>31</v>
      </c>
      <c r="D71" t="s">
        <v>32</v>
      </c>
      <c r="E71" t="s">
        <v>55</v>
      </c>
      <c r="F71" t="s">
        <v>85</v>
      </c>
      <c r="G71" t="s">
        <v>35</v>
      </c>
      <c r="H71" s="2">
        <v>1250000000</v>
      </c>
      <c r="I71" s="2">
        <v>1285000000</v>
      </c>
      <c r="J71" s="5">
        <v>13.8</v>
      </c>
      <c r="K71" s="3">
        <v>70</v>
      </c>
      <c r="L71" s="3" t="s">
        <v>36</v>
      </c>
      <c r="M71" s="3">
        <f>IF(tblTender[[#This Row],[Status]]="Win",1,0)</f>
        <v>0</v>
      </c>
      <c r="N71" s="3">
        <f>IF(tblTender[[#This Row],[Status]]="Loss",1,0)</f>
        <v>1</v>
      </c>
      <c r="O71" t="s">
        <v>37</v>
      </c>
      <c r="P71" t="s">
        <v>38</v>
      </c>
      <c r="Q71" t="s">
        <v>27</v>
      </c>
      <c r="R71" s="3">
        <v>2</v>
      </c>
      <c r="S71" t="s">
        <v>28</v>
      </c>
      <c r="T71" t="s">
        <v>180</v>
      </c>
    </row>
    <row r="72" spans="1:20" x14ac:dyDescent="0.25">
      <c r="A72" t="s">
        <v>186</v>
      </c>
      <c r="B72" s="1">
        <v>45539</v>
      </c>
      <c r="C72" t="s">
        <v>19</v>
      </c>
      <c r="D72" t="s">
        <v>48</v>
      </c>
      <c r="E72" t="s">
        <v>33</v>
      </c>
      <c r="F72" t="s">
        <v>187</v>
      </c>
      <c r="G72" t="s">
        <v>23</v>
      </c>
      <c r="H72" s="2">
        <v>950000000</v>
      </c>
      <c r="I72" s="2">
        <v>925000000</v>
      </c>
      <c r="J72" s="5">
        <v>14.5</v>
      </c>
      <c r="K72" s="3">
        <v>55</v>
      </c>
      <c r="L72" s="3" t="s">
        <v>24</v>
      </c>
      <c r="M72" s="3">
        <f>IF(tblTender[[#This Row],[Status]]="Win",1,0)</f>
        <v>1</v>
      </c>
      <c r="N72" s="3">
        <f>IF(tblTender[[#This Row],[Status]]="Loss",1,0)</f>
        <v>0</v>
      </c>
      <c r="O72" t="s">
        <v>25</v>
      </c>
      <c r="P72" t="s">
        <v>26</v>
      </c>
      <c r="Q72" t="s">
        <v>27</v>
      </c>
      <c r="R72" s="3">
        <v>1</v>
      </c>
      <c r="S72" t="s">
        <v>45</v>
      </c>
      <c r="T72" t="s">
        <v>180</v>
      </c>
    </row>
    <row r="73" spans="1:20" x14ac:dyDescent="0.25">
      <c r="A73" t="s">
        <v>188</v>
      </c>
      <c r="B73" s="1">
        <v>45553</v>
      </c>
      <c r="C73" t="s">
        <v>47</v>
      </c>
      <c r="D73" t="s">
        <v>74</v>
      </c>
      <c r="E73" t="s">
        <v>21</v>
      </c>
      <c r="F73" t="s">
        <v>75</v>
      </c>
      <c r="G73" t="s">
        <v>35</v>
      </c>
      <c r="H73" s="2">
        <v>680000000</v>
      </c>
      <c r="I73" s="2">
        <v>665000000</v>
      </c>
      <c r="J73" s="5">
        <v>15</v>
      </c>
      <c r="K73" s="3">
        <v>60</v>
      </c>
      <c r="L73" s="3" t="s">
        <v>24</v>
      </c>
      <c r="M73" s="3">
        <f>IF(tblTender[[#This Row],[Status]]="Win",1,0)</f>
        <v>1</v>
      </c>
      <c r="N73" s="3">
        <f>IF(tblTender[[#This Row],[Status]]="Loss",1,0)</f>
        <v>0</v>
      </c>
      <c r="O73" t="s">
        <v>43</v>
      </c>
      <c r="P73" t="s">
        <v>26</v>
      </c>
      <c r="Q73" t="s">
        <v>27</v>
      </c>
      <c r="R73" s="3">
        <v>1</v>
      </c>
      <c r="S73" t="s">
        <v>28</v>
      </c>
      <c r="T73" t="s">
        <v>180</v>
      </c>
    </row>
    <row r="74" spans="1:20" x14ac:dyDescent="0.25">
      <c r="A74" t="s">
        <v>189</v>
      </c>
      <c r="B74" s="1">
        <v>45567</v>
      </c>
      <c r="C74" t="s">
        <v>19</v>
      </c>
      <c r="D74" t="s">
        <v>54</v>
      </c>
      <c r="E74" t="s">
        <v>77</v>
      </c>
      <c r="F74" t="s">
        <v>190</v>
      </c>
      <c r="G74" t="s">
        <v>35</v>
      </c>
      <c r="H74" s="2">
        <v>165000000</v>
      </c>
      <c r="I74" s="2">
        <v>160000000</v>
      </c>
      <c r="J74" s="5">
        <v>24</v>
      </c>
      <c r="K74" s="3">
        <v>25</v>
      </c>
      <c r="L74" s="3" t="s">
        <v>24</v>
      </c>
      <c r="M74" s="3">
        <f>IF(tblTender[[#This Row],[Status]]="Win",1,0)</f>
        <v>1</v>
      </c>
      <c r="N74" s="3">
        <f>IF(tblTender[[#This Row],[Status]]="Loss",1,0)</f>
        <v>0</v>
      </c>
      <c r="O74" t="s">
        <v>51</v>
      </c>
      <c r="P74" t="s">
        <v>26</v>
      </c>
      <c r="Q74" t="s">
        <v>27</v>
      </c>
      <c r="R74" s="3">
        <v>1</v>
      </c>
      <c r="S74" t="s">
        <v>52</v>
      </c>
      <c r="T74" t="s">
        <v>191</v>
      </c>
    </row>
    <row r="75" spans="1:20" x14ac:dyDescent="0.25">
      <c r="A75" t="s">
        <v>192</v>
      </c>
      <c r="B75" s="1">
        <v>45581</v>
      </c>
      <c r="C75" t="s">
        <v>31</v>
      </c>
      <c r="D75" t="s">
        <v>60</v>
      </c>
      <c r="E75" t="s">
        <v>33</v>
      </c>
      <c r="F75" t="s">
        <v>42</v>
      </c>
      <c r="G75" t="s">
        <v>35</v>
      </c>
      <c r="H75" s="2">
        <v>1850000000</v>
      </c>
      <c r="I75" s="2">
        <v>1810000000</v>
      </c>
      <c r="J75" s="5">
        <v>13</v>
      </c>
      <c r="K75" s="3">
        <v>85</v>
      </c>
      <c r="L75" s="3" t="s">
        <v>24</v>
      </c>
      <c r="M75" s="3">
        <f>IF(tblTender[[#This Row],[Status]]="Win",1,0)</f>
        <v>1</v>
      </c>
      <c r="N75" s="3">
        <f>IF(tblTender[[#This Row],[Status]]="Loss",1,0)</f>
        <v>0</v>
      </c>
      <c r="O75" t="s">
        <v>25</v>
      </c>
      <c r="P75" t="s">
        <v>26</v>
      </c>
      <c r="Q75" t="s">
        <v>27</v>
      </c>
      <c r="R75" s="3">
        <v>1</v>
      </c>
      <c r="S75" t="s">
        <v>45</v>
      </c>
      <c r="T75" t="s">
        <v>191</v>
      </c>
    </row>
    <row r="76" spans="1:20" x14ac:dyDescent="0.25">
      <c r="A76" t="s">
        <v>193</v>
      </c>
      <c r="B76" s="1">
        <v>45595</v>
      </c>
      <c r="C76" t="s">
        <v>19</v>
      </c>
      <c r="D76" t="s">
        <v>20</v>
      </c>
      <c r="E76" t="s">
        <v>21</v>
      </c>
      <c r="F76" t="s">
        <v>22</v>
      </c>
      <c r="G76" t="s">
        <v>35</v>
      </c>
      <c r="H76" s="2">
        <v>2250000000</v>
      </c>
      <c r="I76" s="2">
        <v>2310000000</v>
      </c>
      <c r="J76" s="5">
        <v>12.8</v>
      </c>
      <c r="K76" s="3">
        <v>85</v>
      </c>
      <c r="L76" s="3" t="s">
        <v>36</v>
      </c>
      <c r="M76" s="3">
        <f>IF(tblTender[[#This Row],[Status]]="Win",1,0)</f>
        <v>0</v>
      </c>
      <c r="N76" s="3">
        <f>IF(tblTender[[#This Row],[Status]]="Loss",1,0)</f>
        <v>1</v>
      </c>
      <c r="O76" t="s">
        <v>37</v>
      </c>
      <c r="P76" t="s">
        <v>38</v>
      </c>
      <c r="Q76" t="s">
        <v>27</v>
      </c>
      <c r="R76" s="3">
        <v>2</v>
      </c>
      <c r="S76" t="s">
        <v>28</v>
      </c>
      <c r="T76" t="s">
        <v>191</v>
      </c>
    </row>
    <row r="77" spans="1:20" x14ac:dyDescent="0.25">
      <c r="A77" t="s">
        <v>194</v>
      </c>
      <c r="B77" s="1">
        <v>45609</v>
      </c>
      <c r="C77" t="s">
        <v>47</v>
      </c>
      <c r="D77" t="s">
        <v>65</v>
      </c>
      <c r="E77" t="s">
        <v>49</v>
      </c>
      <c r="F77" t="s">
        <v>68</v>
      </c>
      <c r="G77" t="s">
        <v>57</v>
      </c>
      <c r="H77" s="2">
        <v>1450000000</v>
      </c>
      <c r="I77" s="2">
        <v>1410000000</v>
      </c>
      <c r="J77" s="5">
        <v>15.5</v>
      </c>
      <c r="K77" s="3">
        <v>80</v>
      </c>
      <c r="L77" s="3" t="s">
        <v>24</v>
      </c>
      <c r="M77" s="3">
        <f>IF(tblTender[[#This Row],[Status]]="Win",1,0)</f>
        <v>1</v>
      </c>
      <c r="N77" s="3">
        <f>IF(tblTender[[#This Row],[Status]]="Loss",1,0)</f>
        <v>0</v>
      </c>
      <c r="O77" t="s">
        <v>25</v>
      </c>
      <c r="P77" t="s">
        <v>26</v>
      </c>
      <c r="Q77" t="s">
        <v>27</v>
      </c>
      <c r="R77" s="3">
        <v>2</v>
      </c>
      <c r="S77" t="s">
        <v>39</v>
      </c>
      <c r="T77" t="s">
        <v>191</v>
      </c>
    </row>
    <row r="78" spans="1:20" x14ac:dyDescent="0.25">
      <c r="A78" t="s">
        <v>195</v>
      </c>
      <c r="B78" s="1">
        <v>45623</v>
      </c>
      <c r="C78" t="s">
        <v>19</v>
      </c>
      <c r="D78" t="s">
        <v>41</v>
      </c>
      <c r="E78" t="s">
        <v>55</v>
      </c>
      <c r="F78" t="s">
        <v>196</v>
      </c>
      <c r="G78" t="s">
        <v>35</v>
      </c>
      <c r="H78" s="2">
        <v>580000000</v>
      </c>
      <c r="I78" s="2">
        <v>565000000</v>
      </c>
      <c r="J78" s="5">
        <v>15</v>
      </c>
      <c r="K78" s="3">
        <v>50</v>
      </c>
      <c r="L78" s="3" t="s">
        <v>24</v>
      </c>
      <c r="M78" s="3">
        <f>IF(tblTender[[#This Row],[Status]]="Win",1,0)</f>
        <v>1</v>
      </c>
      <c r="N78" s="3">
        <f>IF(tblTender[[#This Row],[Status]]="Loss",1,0)</f>
        <v>0</v>
      </c>
      <c r="O78" t="s">
        <v>51</v>
      </c>
      <c r="P78" t="s">
        <v>26</v>
      </c>
      <c r="Q78" t="s">
        <v>27</v>
      </c>
      <c r="R78" s="3">
        <v>1</v>
      </c>
      <c r="S78" t="s">
        <v>28</v>
      </c>
      <c r="T78" t="s">
        <v>191</v>
      </c>
    </row>
    <row r="79" spans="1:20" x14ac:dyDescent="0.25">
      <c r="A79" t="s">
        <v>197</v>
      </c>
      <c r="B79" s="1">
        <v>45637</v>
      </c>
      <c r="C79" t="s">
        <v>31</v>
      </c>
      <c r="D79" t="s">
        <v>32</v>
      </c>
      <c r="E79" t="s">
        <v>21</v>
      </c>
      <c r="F79" t="s">
        <v>133</v>
      </c>
      <c r="G79" t="s">
        <v>35</v>
      </c>
      <c r="H79" s="2">
        <v>720000000</v>
      </c>
      <c r="I79" s="2">
        <v>738000000</v>
      </c>
      <c r="J79" s="5">
        <v>14.8</v>
      </c>
      <c r="K79" s="3">
        <v>55</v>
      </c>
      <c r="L79" s="3" t="s">
        <v>36</v>
      </c>
      <c r="M79" s="3">
        <f>IF(tblTender[[#This Row],[Status]]="Win",1,0)</f>
        <v>0</v>
      </c>
      <c r="N79" s="3">
        <f>IF(tblTender[[#This Row],[Status]]="Loss",1,0)</f>
        <v>1</v>
      </c>
      <c r="O79" t="s">
        <v>37</v>
      </c>
      <c r="P79" t="s">
        <v>38</v>
      </c>
      <c r="Q79" t="s">
        <v>27</v>
      </c>
      <c r="R79" s="3">
        <v>2</v>
      </c>
      <c r="S79" t="s">
        <v>45</v>
      </c>
      <c r="T79" t="s">
        <v>191</v>
      </c>
    </row>
    <row r="80" spans="1:20" x14ac:dyDescent="0.25">
      <c r="A80" t="s">
        <v>198</v>
      </c>
      <c r="B80" s="1">
        <v>45649</v>
      </c>
      <c r="C80" t="s">
        <v>19</v>
      </c>
      <c r="D80" t="s">
        <v>48</v>
      </c>
      <c r="E80" t="s">
        <v>33</v>
      </c>
      <c r="F80" t="s">
        <v>199</v>
      </c>
      <c r="G80" t="s">
        <v>23</v>
      </c>
      <c r="H80" s="2">
        <v>1580000000</v>
      </c>
      <c r="I80" s="2">
        <v>1535000000</v>
      </c>
      <c r="J80" s="5">
        <v>13</v>
      </c>
      <c r="K80" s="3">
        <v>75</v>
      </c>
      <c r="L80" s="3" t="s">
        <v>24</v>
      </c>
      <c r="M80" s="3">
        <f>IF(tblTender[[#This Row],[Status]]="Win",1,0)</f>
        <v>1</v>
      </c>
      <c r="N80" s="3">
        <f>IF(tblTender[[#This Row],[Status]]="Loss",1,0)</f>
        <v>0</v>
      </c>
      <c r="O80" t="s">
        <v>43</v>
      </c>
      <c r="P80" t="s">
        <v>26</v>
      </c>
      <c r="Q80" t="s">
        <v>27</v>
      </c>
      <c r="R80" s="3">
        <v>1</v>
      </c>
      <c r="S80" t="s">
        <v>45</v>
      </c>
      <c r="T80" t="s">
        <v>191</v>
      </c>
    </row>
    <row r="81" spans="1:20" x14ac:dyDescent="0.25">
      <c r="A81" t="s">
        <v>200</v>
      </c>
      <c r="B81" s="1">
        <v>45672</v>
      </c>
      <c r="C81" t="s">
        <v>19</v>
      </c>
      <c r="D81" t="s">
        <v>54</v>
      </c>
      <c r="E81" t="s">
        <v>21</v>
      </c>
      <c r="F81" t="s">
        <v>91</v>
      </c>
      <c r="G81" t="s">
        <v>35</v>
      </c>
      <c r="H81" s="2">
        <v>1080000000</v>
      </c>
      <c r="I81" s="2">
        <v>1055000000</v>
      </c>
      <c r="J81" s="5">
        <v>14.5</v>
      </c>
      <c r="K81" s="3">
        <v>65</v>
      </c>
      <c r="L81" s="3" t="s">
        <v>24</v>
      </c>
      <c r="M81" s="3">
        <f>IF(tblTender[[#This Row],[Status]]="Win",1,0)</f>
        <v>1</v>
      </c>
      <c r="N81" s="3">
        <f>IF(tblTender[[#This Row],[Status]]="Loss",1,0)</f>
        <v>0</v>
      </c>
      <c r="O81" t="s">
        <v>25</v>
      </c>
      <c r="P81" t="s">
        <v>26</v>
      </c>
      <c r="Q81" t="s">
        <v>27</v>
      </c>
      <c r="R81" s="3">
        <v>1</v>
      </c>
      <c r="S81" t="s">
        <v>28</v>
      </c>
      <c r="T81" t="s">
        <v>201</v>
      </c>
    </row>
    <row r="82" spans="1:20" x14ac:dyDescent="0.25">
      <c r="A82" t="s">
        <v>202</v>
      </c>
      <c r="B82" s="1">
        <v>45686</v>
      </c>
      <c r="C82" t="s">
        <v>47</v>
      </c>
      <c r="D82" t="s">
        <v>48</v>
      </c>
      <c r="E82" t="s">
        <v>33</v>
      </c>
      <c r="F82" t="s">
        <v>66</v>
      </c>
      <c r="G82" t="s">
        <v>23</v>
      </c>
      <c r="H82" s="2">
        <v>9250000000</v>
      </c>
      <c r="I82" s="2">
        <v>9050000000</v>
      </c>
      <c r="J82" s="5">
        <v>9.8000000000000007</v>
      </c>
      <c r="K82" s="3">
        <v>170</v>
      </c>
      <c r="L82" s="3" t="s">
        <v>24</v>
      </c>
      <c r="M82" s="3">
        <f>IF(tblTender[[#This Row],[Status]]="Win",1,0)</f>
        <v>1</v>
      </c>
      <c r="N82" s="3">
        <f>IF(tblTender[[#This Row],[Status]]="Loss",1,0)</f>
        <v>0</v>
      </c>
      <c r="O82" t="s">
        <v>25</v>
      </c>
      <c r="P82" t="s">
        <v>26</v>
      </c>
      <c r="Q82" t="s">
        <v>27</v>
      </c>
      <c r="R82" s="3">
        <v>2</v>
      </c>
      <c r="S82" t="s">
        <v>39</v>
      </c>
      <c r="T82" t="s">
        <v>201</v>
      </c>
    </row>
    <row r="83" spans="1:20" x14ac:dyDescent="0.25">
      <c r="A83" t="s">
        <v>203</v>
      </c>
      <c r="B83" s="1">
        <v>45700</v>
      </c>
      <c r="C83" t="s">
        <v>19</v>
      </c>
      <c r="D83" t="s">
        <v>20</v>
      </c>
      <c r="E83" t="s">
        <v>49</v>
      </c>
      <c r="F83" t="s">
        <v>50</v>
      </c>
      <c r="G83" t="s">
        <v>35</v>
      </c>
      <c r="H83" s="2">
        <v>195000000</v>
      </c>
      <c r="I83" s="2">
        <v>190000000</v>
      </c>
      <c r="J83" s="5">
        <v>20</v>
      </c>
      <c r="K83" s="3">
        <v>30</v>
      </c>
      <c r="L83" s="3" t="s">
        <v>24</v>
      </c>
      <c r="M83" s="3">
        <f>IF(tblTender[[#This Row],[Status]]="Win",1,0)</f>
        <v>1</v>
      </c>
      <c r="N83" s="3">
        <f>IF(tblTender[[#This Row],[Status]]="Loss",1,0)</f>
        <v>0</v>
      </c>
      <c r="O83" t="s">
        <v>51</v>
      </c>
      <c r="P83" t="s">
        <v>26</v>
      </c>
      <c r="Q83" t="s">
        <v>44</v>
      </c>
      <c r="R83" s="3">
        <v>1</v>
      </c>
      <c r="S83" t="s">
        <v>45</v>
      </c>
      <c r="T83" t="s">
        <v>201</v>
      </c>
    </row>
    <row r="84" spans="1:20" x14ac:dyDescent="0.25">
      <c r="A84" t="s">
        <v>204</v>
      </c>
      <c r="B84" s="1">
        <v>45714</v>
      </c>
      <c r="C84" t="s">
        <v>31</v>
      </c>
      <c r="D84" t="s">
        <v>60</v>
      </c>
      <c r="E84" t="s">
        <v>55</v>
      </c>
      <c r="F84" t="s">
        <v>205</v>
      </c>
      <c r="G84" t="s">
        <v>35</v>
      </c>
      <c r="H84" s="2">
        <v>950000000</v>
      </c>
      <c r="I84" s="2">
        <v>975000000</v>
      </c>
      <c r="J84" s="5">
        <v>14.5</v>
      </c>
      <c r="K84" s="3">
        <v>60</v>
      </c>
      <c r="L84" s="3" t="s">
        <v>36</v>
      </c>
      <c r="M84" s="3">
        <f>IF(tblTender[[#This Row],[Status]]="Win",1,0)</f>
        <v>0</v>
      </c>
      <c r="N84" s="3">
        <f>IF(tblTender[[#This Row],[Status]]="Loss",1,0)</f>
        <v>1</v>
      </c>
      <c r="O84" t="s">
        <v>37</v>
      </c>
      <c r="P84" t="s">
        <v>38</v>
      </c>
      <c r="Q84" t="s">
        <v>27</v>
      </c>
      <c r="R84" s="3">
        <v>2</v>
      </c>
      <c r="S84" t="s">
        <v>52</v>
      </c>
      <c r="T84" t="s">
        <v>201</v>
      </c>
    </row>
    <row r="85" spans="1:20" x14ac:dyDescent="0.25">
      <c r="A85" t="s">
        <v>206</v>
      </c>
      <c r="B85" s="1">
        <v>45728</v>
      </c>
      <c r="C85" t="s">
        <v>19</v>
      </c>
      <c r="D85" t="s">
        <v>41</v>
      </c>
      <c r="E85" t="s">
        <v>33</v>
      </c>
      <c r="F85" t="s">
        <v>89</v>
      </c>
      <c r="G85" t="s">
        <v>35</v>
      </c>
      <c r="H85" s="2">
        <v>2350000000</v>
      </c>
      <c r="I85" s="2">
        <v>2295000000</v>
      </c>
      <c r="J85" s="5">
        <v>12.5</v>
      </c>
      <c r="K85" s="3">
        <v>90</v>
      </c>
      <c r="L85" s="3" t="s">
        <v>24</v>
      </c>
      <c r="M85" s="3">
        <f>IF(tblTender[[#This Row],[Status]]="Win",1,0)</f>
        <v>1</v>
      </c>
      <c r="N85" s="3">
        <f>IF(tblTender[[#This Row],[Status]]="Loss",1,0)</f>
        <v>0</v>
      </c>
      <c r="O85" t="s">
        <v>43</v>
      </c>
      <c r="P85" t="s">
        <v>26</v>
      </c>
      <c r="Q85" t="s">
        <v>27</v>
      </c>
      <c r="R85" s="3">
        <v>1</v>
      </c>
      <c r="S85" t="s">
        <v>45</v>
      </c>
      <c r="T85" t="s">
        <v>201</v>
      </c>
    </row>
    <row r="86" spans="1:20" x14ac:dyDescent="0.25">
      <c r="A86" t="s">
        <v>207</v>
      </c>
      <c r="B86" s="1">
        <v>45742</v>
      </c>
      <c r="C86" t="s">
        <v>47</v>
      </c>
      <c r="D86" t="s">
        <v>65</v>
      </c>
      <c r="E86" t="s">
        <v>21</v>
      </c>
      <c r="F86" t="s">
        <v>75</v>
      </c>
      <c r="G86" t="s">
        <v>35</v>
      </c>
      <c r="H86" s="2">
        <v>720000000</v>
      </c>
      <c r="I86" s="2">
        <v>705000000</v>
      </c>
      <c r="J86" s="5">
        <v>14.8</v>
      </c>
      <c r="K86" s="3">
        <v>60</v>
      </c>
      <c r="L86" s="3" t="s">
        <v>24</v>
      </c>
      <c r="M86" s="3">
        <f>IF(tblTender[[#This Row],[Status]]="Win",1,0)</f>
        <v>1</v>
      </c>
      <c r="N86" s="3">
        <f>IF(tblTender[[#This Row],[Status]]="Loss",1,0)</f>
        <v>0</v>
      </c>
      <c r="O86" t="s">
        <v>25</v>
      </c>
      <c r="P86" t="s">
        <v>26</v>
      </c>
      <c r="Q86" t="s">
        <v>27</v>
      </c>
      <c r="R86" s="3">
        <v>1</v>
      </c>
      <c r="S86" t="s">
        <v>28</v>
      </c>
      <c r="T86" t="s">
        <v>201</v>
      </c>
    </row>
    <row r="87" spans="1:20" x14ac:dyDescent="0.25">
      <c r="A87" t="s">
        <v>208</v>
      </c>
      <c r="B87" s="1">
        <v>45756</v>
      </c>
      <c r="C87" t="s">
        <v>19</v>
      </c>
      <c r="D87" t="s">
        <v>48</v>
      </c>
      <c r="E87" t="s">
        <v>21</v>
      </c>
      <c r="F87" t="s">
        <v>22</v>
      </c>
      <c r="G87" t="s">
        <v>23</v>
      </c>
      <c r="H87" s="2">
        <v>3450000000</v>
      </c>
      <c r="I87" s="2">
        <v>3380000000</v>
      </c>
      <c r="J87" s="5">
        <v>11.5</v>
      </c>
      <c r="K87" s="3">
        <v>105</v>
      </c>
      <c r="L87" s="3" t="s">
        <v>24</v>
      </c>
      <c r="M87" s="3">
        <f>IF(tblTender[[#This Row],[Status]]="Win",1,0)</f>
        <v>1</v>
      </c>
      <c r="N87" s="3">
        <f>IF(tblTender[[#This Row],[Status]]="Loss",1,0)</f>
        <v>0</v>
      </c>
      <c r="O87" t="s">
        <v>25</v>
      </c>
      <c r="P87" t="s">
        <v>26</v>
      </c>
      <c r="Q87" t="s">
        <v>27</v>
      </c>
      <c r="R87" s="3">
        <v>2</v>
      </c>
      <c r="S87" t="s">
        <v>28</v>
      </c>
      <c r="T87" t="s">
        <v>209</v>
      </c>
    </row>
    <row r="88" spans="1:20" x14ac:dyDescent="0.25">
      <c r="A88" t="s">
        <v>210</v>
      </c>
      <c r="B88" s="1">
        <v>45770</v>
      </c>
      <c r="C88" t="s">
        <v>31</v>
      </c>
      <c r="D88" t="s">
        <v>32</v>
      </c>
      <c r="E88" t="s">
        <v>33</v>
      </c>
      <c r="F88" t="s">
        <v>211</v>
      </c>
      <c r="G88" t="s">
        <v>23</v>
      </c>
      <c r="H88" s="2">
        <v>2150000000</v>
      </c>
      <c r="I88" s="2">
        <v>2095000000</v>
      </c>
      <c r="J88" s="5">
        <v>12</v>
      </c>
      <c r="K88" s="3">
        <v>90</v>
      </c>
      <c r="L88" s="3" t="s">
        <v>24</v>
      </c>
      <c r="M88" s="3">
        <f>IF(tblTender[[#This Row],[Status]]="Win",1,0)</f>
        <v>1</v>
      </c>
      <c r="N88" s="3">
        <f>IF(tblTender[[#This Row],[Status]]="Loss",1,0)</f>
        <v>0</v>
      </c>
      <c r="O88" t="s">
        <v>25</v>
      </c>
      <c r="P88" t="s">
        <v>26</v>
      </c>
      <c r="Q88" t="s">
        <v>27</v>
      </c>
      <c r="R88" s="3">
        <v>1</v>
      </c>
      <c r="S88" t="s">
        <v>39</v>
      </c>
      <c r="T88" t="s">
        <v>209</v>
      </c>
    </row>
    <row r="89" spans="1:20" x14ac:dyDescent="0.25">
      <c r="A89" t="s">
        <v>212</v>
      </c>
      <c r="B89" s="1">
        <v>45784</v>
      </c>
      <c r="C89" t="s">
        <v>19</v>
      </c>
      <c r="D89" t="s">
        <v>54</v>
      </c>
      <c r="E89" t="s">
        <v>49</v>
      </c>
      <c r="F89" t="s">
        <v>213</v>
      </c>
      <c r="G89" t="s">
        <v>35</v>
      </c>
      <c r="H89" s="2">
        <v>420000000</v>
      </c>
      <c r="I89" s="2">
        <v>432000000</v>
      </c>
      <c r="J89" s="5">
        <v>17.5</v>
      </c>
      <c r="K89" s="3">
        <v>45</v>
      </c>
      <c r="L89" s="3" t="s">
        <v>36</v>
      </c>
      <c r="M89" s="3">
        <f>IF(tblTender[[#This Row],[Status]]="Win",1,0)</f>
        <v>0</v>
      </c>
      <c r="N89" s="3">
        <f>IF(tblTender[[#This Row],[Status]]="Loss",1,0)</f>
        <v>1</v>
      </c>
      <c r="O89" t="s">
        <v>37</v>
      </c>
      <c r="P89" t="s">
        <v>38</v>
      </c>
      <c r="Q89" t="s">
        <v>27</v>
      </c>
      <c r="R89" s="3">
        <v>2</v>
      </c>
      <c r="S89" t="s">
        <v>45</v>
      </c>
      <c r="T89" t="s">
        <v>209</v>
      </c>
    </row>
    <row r="90" spans="1:20" x14ac:dyDescent="0.25">
      <c r="A90" t="s">
        <v>214</v>
      </c>
      <c r="B90" s="1">
        <v>45798</v>
      </c>
      <c r="C90" t="s">
        <v>47</v>
      </c>
      <c r="D90" t="s">
        <v>74</v>
      </c>
      <c r="E90" t="s">
        <v>77</v>
      </c>
      <c r="F90" t="s">
        <v>215</v>
      </c>
      <c r="G90" t="s">
        <v>35</v>
      </c>
      <c r="H90" s="2">
        <v>385000000</v>
      </c>
      <c r="I90" s="2">
        <v>375000000</v>
      </c>
      <c r="J90" s="5">
        <v>21.8</v>
      </c>
      <c r="K90" s="3">
        <v>30</v>
      </c>
      <c r="L90" s="3" t="s">
        <v>24</v>
      </c>
      <c r="M90" s="3">
        <f>IF(tblTender[[#This Row],[Status]]="Win",1,0)</f>
        <v>1</v>
      </c>
      <c r="N90" s="3">
        <f>IF(tblTender[[#This Row],[Status]]="Loss",1,0)</f>
        <v>0</v>
      </c>
      <c r="O90" t="s">
        <v>51</v>
      </c>
      <c r="P90" t="s">
        <v>26</v>
      </c>
      <c r="Q90" t="s">
        <v>27</v>
      </c>
      <c r="R90" s="3">
        <v>1</v>
      </c>
      <c r="S90" t="s">
        <v>52</v>
      </c>
      <c r="T90" t="s">
        <v>209</v>
      </c>
    </row>
    <row r="91" spans="1:20" x14ac:dyDescent="0.25">
      <c r="A91" t="s">
        <v>216</v>
      </c>
      <c r="B91" s="1">
        <v>45812</v>
      </c>
      <c r="C91" t="s">
        <v>19</v>
      </c>
      <c r="D91" t="s">
        <v>20</v>
      </c>
      <c r="E91" t="s">
        <v>55</v>
      </c>
      <c r="F91" t="s">
        <v>131</v>
      </c>
      <c r="G91" t="s">
        <v>57</v>
      </c>
      <c r="H91" s="2">
        <v>1280000000</v>
      </c>
      <c r="I91" s="2">
        <v>1320000000</v>
      </c>
      <c r="J91" s="5">
        <v>14.2</v>
      </c>
      <c r="K91" s="3">
        <v>75</v>
      </c>
      <c r="L91" s="3" t="s">
        <v>36</v>
      </c>
      <c r="M91" s="3">
        <f>IF(tblTender[[#This Row],[Status]]="Win",1,0)</f>
        <v>0</v>
      </c>
      <c r="N91" s="3">
        <f>IF(tblTender[[#This Row],[Status]]="Loss",1,0)</f>
        <v>1</v>
      </c>
      <c r="O91" t="s">
        <v>80</v>
      </c>
      <c r="P91" t="s">
        <v>38</v>
      </c>
      <c r="Q91" t="s">
        <v>27</v>
      </c>
      <c r="R91" s="3">
        <v>3</v>
      </c>
      <c r="S91" t="s">
        <v>28</v>
      </c>
      <c r="T91" t="s">
        <v>209</v>
      </c>
    </row>
    <row r="92" spans="1:20" x14ac:dyDescent="0.25">
      <c r="A92" t="s">
        <v>217</v>
      </c>
      <c r="B92" s="1">
        <v>45826</v>
      </c>
      <c r="C92" t="s">
        <v>31</v>
      </c>
      <c r="D92" t="s">
        <v>60</v>
      </c>
      <c r="E92" t="s">
        <v>21</v>
      </c>
      <c r="F92" t="s">
        <v>218</v>
      </c>
      <c r="G92" t="s">
        <v>35</v>
      </c>
      <c r="H92" s="2">
        <v>680000000</v>
      </c>
      <c r="I92" s="2">
        <v>665000000</v>
      </c>
      <c r="J92" s="5">
        <v>15</v>
      </c>
      <c r="K92" s="3">
        <v>55</v>
      </c>
      <c r="L92" s="3" t="s">
        <v>24</v>
      </c>
      <c r="M92" s="3">
        <f>IF(tblTender[[#This Row],[Status]]="Win",1,0)</f>
        <v>1</v>
      </c>
      <c r="N92" s="3">
        <f>IF(tblTender[[#This Row],[Status]]="Loss",1,0)</f>
        <v>0</v>
      </c>
      <c r="O92" t="s">
        <v>25</v>
      </c>
      <c r="P92" t="s">
        <v>26</v>
      </c>
      <c r="Q92" t="s">
        <v>27</v>
      </c>
      <c r="R92" s="3">
        <v>1</v>
      </c>
      <c r="S92" t="s">
        <v>45</v>
      </c>
      <c r="T92" t="s">
        <v>209</v>
      </c>
    </row>
    <row r="93" spans="1:20" x14ac:dyDescent="0.25">
      <c r="A93" t="s">
        <v>219</v>
      </c>
      <c r="B93" s="1">
        <v>45840</v>
      </c>
      <c r="C93" t="s">
        <v>19</v>
      </c>
      <c r="D93" t="s">
        <v>41</v>
      </c>
      <c r="E93" t="s">
        <v>33</v>
      </c>
      <c r="F93" t="s">
        <v>220</v>
      </c>
      <c r="G93" t="s">
        <v>35</v>
      </c>
      <c r="H93" s="2">
        <v>750000000</v>
      </c>
      <c r="I93" s="2">
        <v>765000000</v>
      </c>
      <c r="J93" s="5">
        <v>15.5</v>
      </c>
      <c r="K93" s="3">
        <v>45</v>
      </c>
      <c r="L93" s="3" t="s">
        <v>36</v>
      </c>
      <c r="M93" s="3">
        <f>IF(tblTender[[#This Row],[Status]]="Win",1,0)</f>
        <v>0</v>
      </c>
      <c r="N93" s="3">
        <f>IF(tblTender[[#This Row],[Status]]="Loss",1,0)</f>
        <v>1</v>
      </c>
      <c r="O93" t="s">
        <v>37</v>
      </c>
      <c r="P93" t="s">
        <v>38</v>
      </c>
      <c r="Q93" t="s">
        <v>27</v>
      </c>
      <c r="R93" s="3">
        <v>2</v>
      </c>
      <c r="S93" t="s">
        <v>52</v>
      </c>
      <c r="T93" t="s">
        <v>221</v>
      </c>
    </row>
    <row r="94" spans="1:20" x14ac:dyDescent="0.25">
      <c r="A94" t="s">
        <v>222</v>
      </c>
      <c r="B94" s="1">
        <v>45854</v>
      </c>
      <c r="C94" t="s">
        <v>19</v>
      </c>
      <c r="D94" t="s">
        <v>54</v>
      </c>
      <c r="E94" t="s">
        <v>21</v>
      </c>
      <c r="F94" t="s">
        <v>110</v>
      </c>
      <c r="G94" t="s">
        <v>23</v>
      </c>
      <c r="H94" s="2">
        <v>3850000000</v>
      </c>
      <c r="I94" s="2">
        <v>3760000000</v>
      </c>
      <c r="J94" s="5">
        <v>11.8</v>
      </c>
      <c r="K94" s="3">
        <v>115</v>
      </c>
      <c r="L94" s="3" t="s">
        <v>24</v>
      </c>
      <c r="M94" s="3">
        <f>IF(tblTender[[#This Row],[Status]]="Win",1,0)</f>
        <v>1</v>
      </c>
      <c r="N94" s="3">
        <f>IF(tblTender[[#This Row],[Status]]="Loss",1,0)</f>
        <v>0</v>
      </c>
      <c r="O94" t="s">
        <v>43</v>
      </c>
      <c r="P94" t="s">
        <v>26</v>
      </c>
      <c r="Q94" t="s">
        <v>27</v>
      </c>
      <c r="R94" s="3">
        <v>2</v>
      </c>
      <c r="S94" t="s">
        <v>39</v>
      </c>
      <c r="T94" t="s">
        <v>221</v>
      </c>
    </row>
    <row r="95" spans="1:20" x14ac:dyDescent="0.25">
      <c r="A95" t="s">
        <v>223</v>
      </c>
      <c r="B95" s="1">
        <v>45868</v>
      </c>
      <c r="C95" t="s">
        <v>47</v>
      </c>
      <c r="D95" t="s">
        <v>48</v>
      </c>
      <c r="E95" t="s">
        <v>33</v>
      </c>
      <c r="F95" t="s">
        <v>113</v>
      </c>
      <c r="G95" t="s">
        <v>35</v>
      </c>
      <c r="H95" s="2">
        <v>5950000000</v>
      </c>
      <c r="I95" s="2">
        <v>5840000000</v>
      </c>
      <c r="J95" s="5">
        <v>10.5</v>
      </c>
      <c r="K95" s="3">
        <v>140</v>
      </c>
      <c r="L95" s="3" t="s">
        <v>24</v>
      </c>
      <c r="M95" s="3">
        <f>IF(tblTender[[#This Row],[Status]]="Win",1,0)</f>
        <v>1</v>
      </c>
      <c r="N95" s="3">
        <f>IF(tblTender[[#This Row],[Status]]="Loss",1,0)</f>
        <v>0</v>
      </c>
      <c r="O95" t="s">
        <v>25</v>
      </c>
      <c r="P95" t="s">
        <v>26</v>
      </c>
      <c r="Q95" t="s">
        <v>27</v>
      </c>
      <c r="R95" s="3">
        <v>2</v>
      </c>
      <c r="S95" t="s">
        <v>28</v>
      </c>
      <c r="T95" t="s">
        <v>221</v>
      </c>
    </row>
    <row r="96" spans="1:20" x14ac:dyDescent="0.25">
      <c r="A96" t="s">
        <v>224</v>
      </c>
      <c r="B96" s="1">
        <v>45882</v>
      </c>
      <c r="C96" t="s">
        <v>19</v>
      </c>
      <c r="D96" t="s">
        <v>20</v>
      </c>
      <c r="E96" t="s">
        <v>49</v>
      </c>
      <c r="F96" t="s">
        <v>225</v>
      </c>
      <c r="G96" t="s">
        <v>35</v>
      </c>
      <c r="H96" s="2">
        <v>1850000000</v>
      </c>
      <c r="I96" s="2">
        <v>1810000000</v>
      </c>
      <c r="J96" s="5">
        <v>15.2</v>
      </c>
      <c r="K96" s="3">
        <v>85</v>
      </c>
      <c r="L96" s="3" t="s">
        <v>24</v>
      </c>
      <c r="M96" s="3">
        <f>IF(tblTender[[#This Row],[Status]]="Win",1,0)</f>
        <v>1</v>
      </c>
      <c r="N96" s="3">
        <f>IF(tblTender[[#This Row],[Status]]="Loss",1,0)</f>
        <v>0</v>
      </c>
      <c r="O96" t="s">
        <v>25</v>
      </c>
      <c r="P96" t="s">
        <v>26</v>
      </c>
      <c r="Q96" t="s">
        <v>27</v>
      </c>
      <c r="R96" s="3">
        <v>2</v>
      </c>
      <c r="S96" t="s">
        <v>45</v>
      </c>
      <c r="T96" t="s">
        <v>221</v>
      </c>
    </row>
    <row r="97" spans="1:20" x14ac:dyDescent="0.25">
      <c r="A97" t="s">
        <v>226</v>
      </c>
      <c r="B97" s="1">
        <v>45896</v>
      </c>
      <c r="C97" t="s">
        <v>31</v>
      </c>
      <c r="D97" t="s">
        <v>32</v>
      </c>
      <c r="E97" t="s">
        <v>55</v>
      </c>
      <c r="F97" t="s">
        <v>227</v>
      </c>
      <c r="G97" t="s">
        <v>35</v>
      </c>
      <c r="H97" s="2">
        <v>1080000000</v>
      </c>
      <c r="I97" s="2">
        <v>1115000000</v>
      </c>
      <c r="J97" s="5">
        <v>13.5</v>
      </c>
      <c r="K97" s="3">
        <v>70</v>
      </c>
      <c r="L97" s="3" t="s">
        <v>36</v>
      </c>
      <c r="M97" s="3">
        <f>IF(tblTender[[#This Row],[Status]]="Win",1,0)</f>
        <v>0</v>
      </c>
      <c r="N97" s="3">
        <f>IF(tblTender[[#This Row],[Status]]="Loss",1,0)</f>
        <v>1</v>
      </c>
      <c r="O97" t="s">
        <v>37</v>
      </c>
      <c r="P97" t="s">
        <v>38</v>
      </c>
      <c r="Q97" t="s">
        <v>27</v>
      </c>
      <c r="R97" s="3">
        <v>2</v>
      </c>
      <c r="S97" t="s">
        <v>28</v>
      </c>
      <c r="T97" t="s">
        <v>221</v>
      </c>
    </row>
    <row r="98" spans="1:20" x14ac:dyDescent="0.25">
      <c r="A98" t="s">
        <v>228</v>
      </c>
      <c r="B98" s="1">
        <v>45910</v>
      </c>
      <c r="C98" t="s">
        <v>19</v>
      </c>
      <c r="D98" t="s">
        <v>48</v>
      </c>
      <c r="E98" t="s">
        <v>33</v>
      </c>
      <c r="F98" t="s">
        <v>119</v>
      </c>
      <c r="G98" t="s">
        <v>35</v>
      </c>
      <c r="H98" s="2">
        <v>1450000000</v>
      </c>
      <c r="I98" s="2">
        <v>1410000000</v>
      </c>
      <c r="J98" s="5">
        <v>13</v>
      </c>
      <c r="K98" s="3">
        <v>80</v>
      </c>
      <c r="L98" s="3" t="s">
        <v>24</v>
      </c>
      <c r="M98" s="3">
        <f>IF(tblTender[[#This Row],[Status]]="Win",1,0)</f>
        <v>1</v>
      </c>
      <c r="N98" s="3">
        <f>IF(tblTender[[#This Row],[Status]]="Loss",1,0)</f>
        <v>0</v>
      </c>
      <c r="O98" t="s">
        <v>25</v>
      </c>
      <c r="P98" t="s">
        <v>26</v>
      </c>
      <c r="Q98" t="s">
        <v>27</v>
      </c>
      <c r="R98" s="3">
        <v>1</v>
      </c>
      <c r="S98" t="s">
        <v>45</v>
      </c>
      <c r="T98" t="s">
        <v>221</v>
      </c>
    </row>
    <row r="99" spans="1:20" x14ac:dyDescent="0.25">
      <c r="A99" t="s">
        <v>229</v>
      </c>
      <c r="B99" s="1">
        <v>45924</v>
      </c>
      <c r="C99" t="s">
        <v>47</v>
      </c>
      <c r="D99" t="s">
        <v>65</v>
      </c>
      <c r="E99" t="s">
        <v>21</v>
      </c>
      <c r="F99" t="s">
        <v>121</v>
      </c>
      <c r="G99" t="s">
        <v>35</v>
      </c>
      <c r="H99" s="2">
        <v>820000000</v>
      </c>
      <c r="I99" s="2">
        <v>805000000</v>
      </c>
      <c r="J99" s="5">
        <v>14.5</v>
      </c>
      <c r="K99" s="3">
        <v>60</v>
      </c>
      <c r="L99" s="3" t="s">
        <v>24</v>
      </c>
      <c r="M99" s="3">
        <f>IF(tblTender[[#This Row],[Status]]="Win",1,0)</f>
        <v>1</v>
      </c>
      <c r="N99" s="3">
        <f>IF(tblTender[[#This Row],[Status]]="Loss",1,0)</f>
        <v>0</v>
      </c>
      <c r="O99" t="s">
        <v>43</v>
      </c>
      <c r="P99" t="s">
        <v>26</v>
      </c>
      <c r="Q99" t="s">
        <v>27</v>
      </c>
      <c r="R99" s="3">
        <v>1</v>
      </c>
      <c r="S99" t="s">
        <v>28</v>
      </c>
      <c r="T99" t="s">
        <v>221</v>
      </c>
    </row>
    <row r="100" spans="1:20" x14ac:dyDescent="0.25">
      <c r="A100" t="s">
        <v>230</v>
      </c>
      <c r="B100" s="1">
        <v>45938</v>
      </c>
      <c r="C100" t="s">
        <v>19</v>
      </c>
      <c r="D100" t="s">
        <v>41</v>
      </c>
      <c r="E100" t="s">
        <v>77</v>
      </c>
      <c r="F100" t="s">
        <v>108</v>
      </c>
      <c r="G100" t="s">
        <v>35</v>
      </c>
      <c r="H100" s="2">
        <v>225000000</v>
      </c>
      <c r="I100" s="2">
        <v>218000000</v>
      </c>
      <c r="J100" s="5">
        <v>23</v>
      </c>
      <c r="K100" s="3">
        <v>30</v>
      </c>
      <c r="L100" s="3" t="s">
        <v>24</v>
      </c>
      <c r="M100" s="3">
        <f>IF(tblTender[[#This Row],[Status]]="Win",1,0)</f>
        <v>1</v>
      </c>
      <c r="N100" s="3">
        <f>IF(tblTender[[#This Row],[Status]]="Loss",1,0)</f>
        <v>0</v>
      </c>
      <c r="O100" t="s">
        <v>51</v>
      </c>
      <c r="P100" t="s">
        <v>26</v>
      </c>
      <c r="Q100" t="s">
        <v>27</v>
      </c>
      <c r="R100" s="3">
        <v>1</v>
      </c>
      <c r="S100" t="s">
        <v>52</v>
      </c>
      <c r="T100" t="s">
        <v>231</v>
      </c>
    </row>
    <row r="101" spans="1:20" x14ac:dyDescent="0.25">
      <c r="A101" t="s">
        <v>232</v>
      </c>
      <c r="B101" s="1">
        <v>45952</v>
      </c>
      <c r="C101" t="s">
        <v>31</v>
      </c>
      <c r="D101" t="s">
        <v>60</v>
      </c>
      <c r="E101" t="s">
        <v>21</v>
      </c>
      <c r="F101" t="s">
        <v>233</v>
      </c>
      <c r="G101" t="s">
        <v>35</v>
      </c>
      <c r="H101" s="2">
        <v>920000000</v>
      </c>
      <c r="I101" s="2">
        <v>900000000</v>
      </c>
      <c r="J101" s="5">
        <v>15</v>
      </c>
      <c r="K101" s="3">
        <v>55</v>
      </c>
      <c r="L101" s="3" t="s">
        <v>24</v>
      </c>
      <c r="M101" s="3">
        <f>IF(tblTender[[#This Row],[Status]]="Win",1,0)</f>
        <v>1</v>
      </c>
      <c r="N101" s="3">
        <f>IF(tblTender[[#This Row],[Status]]="Loss",1,0)</f>
        <v>0</v>
      </c>
      <c r="O101" t="s">
        <v>25</v>
      </c>
      <c r="P101" t="s">
        <v>26</v>
      </c>
      <c r="Q101" t="s">
        <v>27</v>
      </c>
      <c r="R101" s="3">
        <v>1</v>
      </c>
      <c r="S101" t="s">
        <v>45</v>
      </c>
      <c r="T101" t="s">
        <v>231</v>
      </c>
    </row>
    <row r="102" spans="1:20" x14ac:dyDescent="0.25">
      <c r="A102" t="s">
        <v>234</v>
      </c>
      <c r="B102" s="1">
        <v>45966</v>
      </c>
      <c r="C102" t="s">
        <v>19</v>
      </c>
      <c r="D102" t="s">
        <v>54</v>
      </c>
      <c r="E102" t="s">
        <v>33</v>
      </c>
      <c r="F102" t="s">
        <v>125</v>
      </c>
      <c r="G102" t="s">
        <v>23</v>
      </c>
      <c r="H102" s="2">
        <v>1850000000</v>
      </c>
      <c r="I102" s="2">
        <v>1810000000</v>
      </c>
      <c r="J102" s="5">
        <v>12.8</v>
      </c>
      <c r="K102" s="3">
        <v>85</v>
      </c>
      <c r="L102" s="3" t="s">
        <v>24</v>
      </c>
      <c r="M102" s="3">
        <f>IF(tblTender[[#This Row],[Status]]="Win",1,0)</f>
        <v>1</v>
      </c>
      <c r="N102" s="3">
        <f>IF(tblTender[[#This Row],[Status]]="Loss",1,0)</f>
        <v>0</v>
      </c>
      <c r="O102" t="s">
        <v>25</v>
      </c>
      <c r="P102" t="s">
        <v>26</v>
      </c>
      <c r="Q102" t="s">
        <v>27</v>
      </c>
      <c r="R102" s="3">
        <v>2</v>
      </c>
      <c r="S102" t="s">
        <v>39</v>
      </c>
      <c r="T102" t="s">
        <v>231</v>
      </c>
    </row>
    <row r="103" spans="1:20" x14ac:dyDescent="0.25">
      <c r="A103" t="s">
        <v>235</v>
      </c>
      <c r="B103" s="1">
        <v>45980</v>
      </c>
      <c r="C103" t="s">
        <v>47</v>
      </c>
      <c r="D103" t="s">
        <v>74</v>
      </c>
      <c r="E103" t="s">
        <v>49</v>
      </c>
      <c r="F103" t="s">
        <v>236</v>
      </c>
      <c r="G103" t="s">
        <v>35</v>
      </c>
      <c r="H103" s="2">
        <v>1180000000</v>
      </c>
      <c r="I103" s="2">
        <v>1215000000</v>
      </c>
      <c r="J103" s="5">
        <v>15</v>
      </c>
      <c r="K103" s="3">
        <v>75</v>
      </c>
      <c r="L103" s="3" t="s">
        <v>36</v>
      </c>
      <c r="M103" s="3">
        <f>IF(tblTender[[#This Row],[Status]]="Win",1,0)</f>
        <v>0</v>
      </c>
      <c r="N103" s="3">
        <f>IF(tblTender[[#This Row],[Status]]="Loss",1,0)</f>
        <v>1</v>
      </c>
      <c r="O103" t="s">
        <v>37</v>
      </c>
      <c r="P103" t="s">
        <v>38</v>
      </c>
      <c r="Q103" t="s">
        <v>27</v>
      </c>
      <c r="R103" s="3">
        <v>2</v>
      </c>
      <c r="S103" t="s">
        <v>45</v>
      </c>
      <c r="T103" t="s">
        <v>231</v>
      </c>
    </row>
    <row r="104" spans="1:20" x14ac:dyDescent="0.25">
      <c r="A104" t="s">
        <v>237</v>
      </c>
      <c r="B104" s="1">
        <v>45994</v>
      </c>
      <c r="C104" t="s">
        <v>19</v>
      </c>
      <c r="D104" t="s">
        <v>20</v>
      </c>
      <c r="E104" t="s">
        <v>55</v>
      </c>
      <c r="F104" t="s">
        <v>154</v>
      </c>
      <c r="G104" t="s">
        <v>35</v>
      </c>
      <c r="H104" s="2">
        <v>650000000</v>
      </c>
      <c r="I104" s="2">
        <v>635000000</v>
      </c>
      <c r="J104" s="5">
        <v>15.2</v>
      </c>
      <c r="K104" s="3">
        <v>55</v>
      </c>
      <c r="L104" s="3" t="s">
        <v>24</v>
      </c>
      <c r="M104" s="3">
        <f>IF(tblTender[[#This Row],[Status]]="Win",1,0)</f>
        <v>1</v>
      </c>
      <c r="N104" s="3">
        <f>IF(tblTender[[#This Row],[Status]]="Loss",1,0)</f>
        <v>0</v>
      </c>
      <c r="O104" t="s">
        <v>43</v>
      </c>
      <c r="P104" t="s">
        <v>26</v>
      </c>
      <c r="Q104" t="s">
        <v>27</v>
      </c>
      <c r="R104" s="3">
        <v>1</v>
      </c>
      <c r="S104" t="s">
        <v>28</v>
      </c>
      <c r="T104" t="s">
        <v>231</v>
      </c>
    </row>
    <row r="105" spans="1:20" x14ac:dyDescent="0.25">
      <c r="A105" t="s">
        <v>238</v>
      </c>
      <c r="B105" s="1">
        <v>46008</v>
      </c>
      <c r="C105" t="s">
        <v>19</v>
      </c>
      <c r="D105" t="s">
        <v>48</v>
      </c>
      <c r="E105" t="s">
        <v>21</v>
      </c>
      <c r="F105" t="s">
        <v>22</v>
      </c>
      <c r="G105" t="s">
        <v>35</v>
      </c>
      <c r="H105" s="2">
        <v>2650000000</v>
      </c>
      <c r="I105" s="2">
        <v>2585000000</v>
      </c>
      <c r="J105" s="5">
        <v>12.5</v>
      </c>
      <c r="K105" s="3">
        <v>95</v>
      </c>
      <c r="L105" s="3" t="s">
        <v>24</v>
      </c>
      <c r="M105" s="3">
        <f>IF(tblTender[[#This Row],[Status]]="Win",1,0)</f>
        <v>1</v>
      </c>
      <c r="N105" s="3">
        <f>IF(tblTender[[#This Row],[Status]]="Loss",1,0)</f>
        <v>0</v>
      </c>
      <c r="O105" t="s">
        <v>25</v>
      </c>
      <c r="P105" t="s">
        <v>26</v>
      </c>
      <c r="Q105" t="s">
        <v>27</v>
      </c>
      <c r="R105" s="3">
        <v>1</v>
      </c>
      <c r="S105" t="s">
        <v>28</v>
      </c>
      <c r="T105" t="s">
        <v>231</v>
      </c>
    </row>
  </sheetData>
  <pageMargins left="0.7" right="0.7" top="0.75" bottom="0.75" header="0.3" footer="0.3"/>
  <pageSetup paperSize="9" scale="18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B884B-41D0-4FD8-AF10-0DCDED813D7A}">
  <dimension ref="A2:B42"/>
  <sheetViews>
    <sheetView topLeftCell="A15" zoomScale="115" zoomScaleNormal="115" workbookViewId="0">
      <selection activeCell="B43" sqref="B43"/>
    </sheetView>
  </sheetViews>
  <sheetFormatPr defaultRowHeight="15" x14ac:dyDescent="0.25"/>
  <cols>
    <col min="1" max="1" width="23.28515625" bestFit="1" customWidth="1"/>
    <col min="2" max="2" width="21.42578125" bestFit="1" customWidth="1"/>
  </cols>
  <sheetData>
    <row r="2" spans="1:2" x14ac:dyDescent="0.25">
      <c r="A2" t="s">
        <v>239</v>
      </c>
      <c r="B2">
        <f>COUNTA(tblTender[Tender_ID])</f>
        <v>104</v>
      </c>
    </row>
    <row r="3" spans="1:2" x14ac:dyDescent="0.25">
      <c r="A3" t="s">
        <v>240</v>
      </c>
      <c r="B3">
        <f>COUNTIF(tblTender[Status],"Win")</f>
        <v>72</v>
      </c>
    </row>
    <row r="4" spans="1:2" x14ac:dyDescent="0.25">
      <c r="A4" t="s">
        <v>241</v>
      </c>
      <c r="B4">
        <f>COUNTIF(tblTender[Status],"Loss")</f>
        <v>32</v>
      </c>
    </row>
    <row r="5" spans="1:2" x14ac:dyDescent="0.25">
      <c r="A5" t="s">
        <v>242</v>
      </c>
      <c r="B5" s="4">
        <f>COUNTIF(tblTender[Status],"Win")/COUNTA(tblTender[Tender_ID])</f>
        <v>0.69230769230769229</v>
      </c>
    </row>
    <row r="6" spans="1:2" x14ac:dyDescent="0.25">
      <c r="A6" t="s">
        <v>243</v>
      </c>
      <c r="B6" s="2">
        <f>SUM(tblTender[Tender_Value_IDR])</f>
        <v>167465000000</v>
      </c>
    </row>
    <row r="7" spans="1:2" x14ac:dyDescent="0.25">
      <c r="A7" t="s">
        <v>244</v>
      </c>
      <c r="B7" s="2">
        <f>SUMIF(tblTender[Status],"Win",tblTender[Tender_Value_IDR])</f>
        <v>105275000000</v>
      </c>
    </row>
    <row r="8" spans="1:2" x14ac:dyDescent="0.25">
      <c r="A8" t="s">
        <v>245</v>
      </c>
      <c r="B8" s="2">
        <f>SUMIF(tblTender[Status],"Loss",tblTender[Tender_Value_IDR])</f>
        <v>62190000000</v>
      </c>
    </row>
    <row r="9" spans="1:2" x14ac:dyDescent="0.25">
      <c r="A9" t="s">
        <v>247</v>
      </c>
      <c r="B9" s="7">
        <f>AVERAGEIF(tblTender[Status],"Win",tblTender[Bid_Margin_Pct])/100</f>
        <v>0.15438888888888888</v>
      </c>
    </row>
    <row r="10" spans="1:2" x14ac:dyDescent="0.25">
      <c r="A10" t="s">
        <v>246</v>
      </c>
      <c r="B10" s="7">
        <f>AVERAGEIF(tblTender[Status],"Loss",tblTender[Bid_Margin_Pct])/100</f>
        <v>0.13990625000000001</v>
      </c>
    </row>
    <row r="11" spans="1:2" x14ac:dyDescent="0.25">
      <c r="A11" t="s">
        <v>248</v>
      </c>
      <c r="B11" s="6">
        <f>AVERAGEIF(tblTender[Status],"Win",tblTender[Tender_Value_IDR])</f>
        <v>1462152777.7777777</v>
      </c>
    </row>
    <row r="12" spans="1:2" x14ac:dyDescent="0.25">
      <c r="A12" t="s">
        <v>249</v>
      </c>
      <c r="B12" s="4">
        <f>SUMIF(tblTender[Status],"Win",tblTender[Tender_Value_IDR])/SUM(tblTender[Tender_Value_IDR])</f>
        <v>0.62863882005195115</v>
      </c>
    </row>
    <row r="15" spans="1:2" x14ac:dyDescent="0.25">
      <c r="A15" s="13" t="s">
        <v>319</v>
      </c>
    </row>
    <row r="17" spans="1:2" x14ac:dyDescent="0.25">
      <c r="A17" s="38" t="s">
        <v>320</v>
      </c>
      <c r="B17" s="38" t="s">
        <v>321</v>
      </c>
    </row>
    <row r="18" spans="1:2" x14ac:dyDescent="0.25">
      <c r="A18" s="10" t="s">
        <v>334</v>
      </c>
      <c r="B18" s="10"/>
    </row>
    <row r="19" spans="1:2" x14ac:dyDescent="0.25">
      <c r="A19" t="s">
        <v>322</v>
      </c>
      <c r="B19" s="39">
        <f>COUNTIFS(tblTender[Tender_Quarter],"Q1-2022",tblTender[Status],"Win")/COUNTIF(tblTender[Tender_Quarter],"Q1-2022")*0.25+COUNTIFS(tblTender[Tender_Quarter],"Q2-2022",tblTender[Status],"Win")/COUNTIF(tblTender[Tender_Quarter],"Q2-2022")*0.25+COUNTIFS(tblTender[Tender_Quarter],"Q3-2022",tblTender[Status],"Win")/COUNTIF(tblTender[Tender_Quarter],"Q3-2022")*0.25+COUNTIFS(tblTender[Tender_Quarter],"Q4-2022",tblTender[Status],"Win")/COUNTIF(tblTender[Tender_Quarter],"Q4-2022")*0.25</f>
        <v>0.63095238095238093</v>
      </c>
    </row>
    <row r="20" spans="1:2" x14ac:dyDescent="0.25">
      <c r="A20" t="s">
        <v>323</v>
      </c>
      <c r="B20" s="39">
        <f>COUNTIFS(tblTender[Tender_Quarter],"Q1-2025",tblTender[Status],"Win")/COUNTIF(tblTender[Tender_Quarter],"Q1-2025")*0.25+COUNTIFS(tblTender[Tender_Quarter],"Q2-2025",tblTender[Status],"Win")/COUNTIF(tblTender[Tender_Quarter],"Q2-2025")*0.25+COUNTIFS(tblTender[Tender_Quarter],"Q3-2025",tblTender[Status],"Win")/COUNTIF(tblTender[Tender_Quarter],"Q3-2025")*0.25+COUNTIFS(tblTender[Tender_Quarter],"Q4-2025",tblTender[Status],"Win")/COUNTIF(tblTender[Tender_Quarter],"Q4-2025")*0.25</f>
        <v>0.76190476190476197</v>
      </c>
    </row>
    <row r="21" spans="1:2" x14ac:dyDescent="0.25">
      <c r="A21" t="s">
        <v>324</v>
      </c>
      <c r="B21" s="40">
        <f>B20-B19</f>
        <v>0.13095238095238104</v>
      </c>
    </row>
    <row r="22" spans="1:2" x14ac:dyDescent="0.25">
      <c r="A22" t="s">
        <v>335</v>
      </c>
      <c r="B22" s="40" t="str" cm="1">
        <f t="array" ref="B22">_xlfn.IFS(B2&gt;0,"Improving",B21=0,"Flat",TRUE,"Declining")</f>
        <v>Improving</v>
      </c>
    </row>
    <row r="24" spans="1:2" x14ac:dyDescent="0.25">
      <c r="A24" s="10" t="s">
        <v>333</v>
      </c>
    </row>
    <row r="25" spans="1:2" x14ac:dyDescent="0.25">
      <c r="A25" t="s">
        <v>325</v>
      </c>
      <c r="B25" s="3" t="str">
        <f>INDEX(Pivot_Analyses!$G$113:$G$128,MATCH(MAX(Pivot_Analyses!$I$113:$I$128),Pivot_Analyses!$I$113:$I$128,0))</f>
        <v>Q3-2023</v>
      </c>
    </row>
    <row r="26" spans="1:2" x14ac:dyDescent="0.25">
      <c r="A26" t="s">
        <v>326</v>
      </c>
      <c r="B26" s="40">
        <f>MAX(Pivot_Analyses!I113:I128)</f>
        <v>0.8571428571428571</v>
      </c>
    </row>
    <row r="27" spans="1:2" x14ac:dyDescent="0.25">
      <c r="A27" t="s">
        <v>327</v>
      </c>
      <c r="B27" s="3" t="str">
        <f>INDEX(Pivot_Analyses!$G$113:$G$128,MATCH(MIN(Pivot_Analyses!$I$113:$I$128),Pivot_Analyses!$I$113:$I$128,0))</f>
        <v>Q2-2022</v>
      </c>
    </row>
    <row r="28" spans="1:2" x14ac:dyDescent="0.25">
      <c r="A28" t="s">
        <v>328</v>
      </c>
      <c r="B28" s="40">
        <f>MIN(Pivot_Analyses!I113:I128)</f>
        <v>0.5714285714285714</v>
      </c>
    </row>
    <row r="29" spans="1:2" x14ac:dyDescent="0.25">
      <c r="A29" t="s">
        <v>336</v>
      </c>
      <c r="B29" s="40" t="s">
        <v>337</v>
      </c>
    </row>
    <row r="30" spans="1:2" x14ac:dyDescent="0.25">
      <c r="B30" s="40"/>
    </row>
    <row r="31" spans="1:2" x14ac:dyDescent="0.25">
      <c r="A31" t="s">
        <v>338</v>
      </c>
      <c r="B31" s="40"/>
    </row>
    <row r="32" spans="1:2" x14ac:dyDescent="0.25">
      <c r="A32" t="s">
        <v>339</v>
      </c>
      <c r="B32" s="40">
        <f>COUNTIFS(tblTender[Tender_Quarter],"Q3-2022",tblTender[Status],"Win")/COUNTIF(tblTender[Tender_Quarter],"Q3-2022")</f>
        <v>0.5714285714285714</v>
      </c>
    </row>
    <row r="33" spans="1:2" x14ac:dyDescent="0.25">
      <c r="A33" t="s">
        <v>340</v>
      </c>
      <c r="B33" s="40">
        <f>COUNTIFS(tblTender[Tender_Quarter],"Q3-2023",tblTender[Status],"Win")/COUNTIF(tblTender[Tender_Quarter],"Q3-2023")</f>
        <v>0.8571428571428571</v>
      </c>
    </row>
    <row r="34" spans="1:2" x14ac:dyDescent="0.25">
      <c r="A34" t="s">
        <v>341</v>
      </c>
      <c r="B34" s="40">
        <f>COUNTIFS(tblTender[Tender_Quarter],"Q3-2024",tblTender[Status],"Win")/COUNTIF(tblTender[Tender_Quarter],"Q3-2024")</f>
        <v>0.66666666666666663</v>
      </c>
    </row>
    <row r="35" spans="1:2" x14ac:dyDescent="0.25">
      <c r="A35" t="s">
        <v>342</v>
      </c>
      <c r="B35" s="40">
        <f>COUNTIFS(tblTender[Tender_Quarter],"Q3-2025",tblTender[Status],"Win")/COUNTIF(tblTender[Tender_Quarter],"Q3-2025")</f>
        <v>0.7142857142857143</v>
      </c>
    </row>
    <row r="36" spans="1:2" x14ac:dyDescent="0.25">
      <c r="A36" t="s">
        <v>354</v>
      </c>
      <c r="B36" s="40">
        <f>AVERAGE(B32:B35)</f>
        <v>0.70238095238095233</v>
      </c>
    </row>
    <row r="37" spans="1:2" x14ac:dyDescent="0.25">
      <c r="B37" s="40"/>
    </row>
    <row r="38" spans="1:2" x14ac:dyDescent="0.25">
      <c r="A38" s="10" t="s">
        <v>332</v>
      </c>
    </row>
    <row r="39" spans="1:2" x14ac:dyDescent="0.25">
      <c r="A39" t="s">
        <v>329</v>
      </c>
      <c r="B39" s="3">
        <f>COUNTIF(tblTender[Tender_Quarter],"*2022")</f>
        <v>27</v>
      </c>
    </row>
    <row r="40" spans="1:2" x14ac:dyDescent="0.25">
      <c r="A40" t="s">
        <v>330</v>
      </c>
      <c r="B40" s="3">
        <f>COUNTIF(tblTender[Tender_Quarter],"*2025")</f>
        <v>25</v>
      </c>
    </row>
    <row r="41" spans="1:2" x14ac:dyDescent="0.25">
      <c r="A41" t="s">
        <v>331</v>
      </c>
      <c r="B41" s="3">
        <f>B40-B39</f>
        <v>-2</v>
      </c>
    </row>
    <row r="42" spans="1:2" x14ac:dyDescent="0.25">
      <c r="A42" t="s">
        <v>335</v>
      </c>
      <c r="B42" s="40" t="str" cm="1">
        <f t="array" ref="B42">_xlfn.IFS(B14&gt;0,"Improving",B41=0,"Flat",TRUE,"Strategic Selectivity")</f>
        <v>Strategic Selectivity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C2D60-E5D1-4426-AA9A-184C95909A4F}">
  <sheetPr>
    <pageSetUpPr fitToPage="1"/>
  </sheetPr>
  <dimension ref="A1:Q158"/>
  <sheetViews>
    <sheetView topLeftCell="A128" zoomScale="85" zoomScaleNormal="85" zoomScaleSheetLayoutView="85" workbookViewId="0">
      <selection activeCell="W28" sqref="W28"/>
    </sheetView>
  </sheetViews>
  <sheetFormatPr defaultRowHeight="15" x14ac:dyDescent="0.25"/>
  <cols>
    <col min="1" max="1" width="15.5703125" bestFit="1" customWidth="1"/>
    <col min="2" max="2" width="17.42578125" bestFit="1" customWidth="1"/>
    <col min="3" max="3" width="20" bestFit="1" customWidth="1"/>
    <col min="4" max="4" width="6" bestFit="1" customWidth="1"/>
    <col min="5" max="6" width="20" bestFit="1" customWidth="1"/>
    <col min="7" max="7" width="25.140625" bestFit="1" customWidth="1"/>
    <col min="8" max="8" width="11.28515625" bestFit="1" customWidth="1"/>
    <col min="9" max="9" width="13.28515625" bestFit="1" customWidth="1"/>
    <col min="10" max="10" width="14.85546875" bestFit="1" customWidth="1"/>
    <col min="11" max="11" width="11.42578125" bestFit="1" customWidth="1"/>
    <col min="12" max="12" width="15.42578125" bestFit="1" customWidth="1"/>
    <col min="14" max="14" width="17.85546875" bestFit="1" customWidth="1"/>
    <col min="15" max="15" width="15.42578125" bestFit="1" customWidth="1"/>
    <col min="16" max="16" width="11.140625" bestFit="1" customWidth="1"/>
    <col min="17" max="17" width="11.42578125" bestFit="1" customWidth="1"/>
  </cols>
  <sheetData>
    <row r="1" spans="1:8" x14ac:dyDescent="0.25">
      <c r="A1" s="9" t="s">
        <v>239</v>
      </c>
      <c r="B1" s="9" t="s">
        <v>254</v>
      </c>
    </row>
    <row r="2" spans="1:8" x14ac:dyDescent="0.25">
      <c r="A2" s="9" t="s">
        <v>265</v>
      </c>
      <c r="B2" t="s">
        <v>36</v>
      </c>
      <c r="C2" t="s">
        <v>24</v>
      </c>
      <c r="D2" t="s">
        <v>250</v>
      </c>
      <c r="E2" s="10" t="s">
        <v>255</v>
      </c>
      <c r="G2" s="17" t="s">
        <v>265</v>
      </c>
      <c r="H2" s="17" t="s">
        <v>255</v>
      </c>
    </row>
    <row r="3" spans="1:8" x14ac:dyDescent="0.25">
      <c r="A3" s="8" t="s">
        <v>47</v>
      </c>
      <c r="B3">
        <v>6</v>
      </c>
      <c r="C3">
        <v>18</v>
      </c>
      <c r="D3">
        <v>24</v>
      </c>
      <c r="E3" s="4">
        <f>COUNTIFS(tblTender[Client_Industry],"Power Generation",tblTender[Status],"Win")/COUNTIF(tblTender[Client_Industry],"Power Generation")</f>
        <v>0.75</v>
      </c>
      <c r="G3" s="18" t="s">
        <v>31</v>
      </c>
      <c r="H3" s="19">
        <f>E4</f>
        <v>0.54166666666666663</v>
      </c>
    </row>
    <row r="4" spans="1:8" x14ac:dyDescent="0.25">
      <c r="A4" s="8" t="s">
        <v>31</v>
      </c>
      <c r="B4">
        <v>11</v>
      </c>
      <c r="C4">
        <v>13</v>
      </c>
      <c r="D4">
        <v>24</v>
      </c>
      <c r="E4" s="11">
        <f>COUNTIFS(tblTender[Client_Industry],"Pulp &amp; Paper",tblTender[Status],"Win")/COUNTIF(tblTender[Client_Industry],"Pulp &amp; Paper")</f>
        <v>0.54166666666666663</v>
      </c>
      <c r="G4" s="18" t="s">
        <v>19</v>
      </c>
      <c r="H4" s="19">
        <f>E5</f>
        <v>0.7321428571428571</v>
      </c>
    </row>
    <row r="5" spans="1:8" x14ac:dyDescent="0.25">
      <c r="A5" s="8" t="s">
        <v>19</v>
      </c>
      <c r="B5">
        <v>15</v>
      </c>
      <c r="C5">
        <v>41</v>
      </c>
      <c r="D5">
        <v>56</v>
      </c>
      <c r="E5" s="4">
        <f>COUNTIFS(tblTender[Client_Industry],"Sugar",tblTender[Status],"Win")/COUNTIF(tblTender[Client_Industry],"Sugar")</f>
        <v>0.7321428571428571</v>
      </c>
      <c r="G5" s="18" t="s">
        <v>47</v>
      </c>
      <c r="H5" s="19">
        <f>E3</f>
        <v>0.75</v>
      </c>
    </row>
    <row r="6" spans="1:8" x14ac:dyDescent="0.25">
      <c r="A6" s="8" t="s">
        <v>250</v>
      </c>
      <c r="B6">
        <v>32</v>
      </c>
      <c r="C6">
        <v>72</v>
      </c>
      <c r="D6">
        <v>104</v>
      </c>
    </row>
    <row r="25" spans="1:17" x14ac:dyDescent="0.25">
      <c r="B25" s="9" t="s">
        <v>254</v>
      </c>
    </row>
    <row r="26" spans="1:17" x14ac:dyDescent="0.25">
      <c r="B26" t="s">
        <v>266</v>
      </c>
      <c r="D26" t="s">
        <v>268</v>
      </c>
      <c r="F26" t="s">
        <v>267</v>
      </c>
      <c r="G26" t="s">
        <v>269</v>
      </c>
    </row>
    <row r="27" spans="1:17" x14ac:dyDescent="0.25">
      <c r="A27" s="9" t="s">
        <v>253</v>
      </c>
      <c r="B27" t="s">
        <v>36</v>
      </c>
      <c r="C27" t="s">
        <v>24</v>
      </c>
      <c r="D27" t="s">
        <v>36</v>
      </c>
      <c r="E27" t="s">
        <v>24</v>
      </c>
      <c r="I27" s="17" t="s">
        <v>255</v>
      </c>
      <c r="J27" s="20" t="s">
        <v>270</v>
      </c>
      <c r="K27" s="17" t="s">
        <v>271</v>
      </c>
      <c r="L27" s="17" t="s">
        <v>272</v>
      </c>
      <c r="N27" s="17" t="s">
        <v>273</v>
      </c>
      <c r="O27" s="17" t="s">
        <v>274</v>
      </c>
      <c r="P27" s="17" t="s">
        <v>275</v>
      </c>
      <c r="Q27" s="17" t="s">
        <v>271</v>
      </c>
    </row>
    <row r="28" spans="1:17" x14ac:dyDescent="0.25">
      <c r="A28" s="8" t="s">
        <v>49</v>
      </c>
      <c r="B28">
        <v>5</v>
      </c>
      <c r="C28">
        <v>11</v>
      </c>
      <c r="D28" s="2">
        <v>5125000000</v>
      </c>
      <c r="E28" s="2">
        <v>8750000000</v>
      </c>
      <c r="F28">
        <v>16</v>
      </c>
      <c r="G28" s="2">
        <v>13875000000</v>
      </c>
      <c r="I28" s="21">
        <f>COUNTIFS(tblTender[Equipment_Category],"Instrumentation",tblTender[Status],"Win")/COUNTIF(tblTender[Equipment_Category],"Instrumentation")</f>
        <v>0.6875</v>
      </c>
      <c r="J28" s="22">
        <f>AVERAGEIF(tblTender[Equipment_Category],"Instrumentation",tblTender[Tender_Value_IDR])/1000000</f>
        <v>867.1875</v>
      </c>
      <c r="K28" s="23">
        <f>COUNTIF(tblTender[Equipment_Category],"Instrumentation")</f>
        <v>16</v>
      </c>
      <c r="L28" s="23" t="str">
        <f>IF(AND(I28&gt;=0.7,J28&gt;=1000),"⭐ STAR",IF(I28&gt;=0.8,"⚡ QUICK WIN",IF(J28&gt;=1500,"💰 BIG DEAL","STEADY")))</f>
        <v>STEADY</v>
      </c>
      <c r="N28" s="18" t="s">
        <v>49</v>
      </c>
      <c r="O28" s="24">
        <f>J28</f>
        <v>867.1875</v>
      </c>
      <c r="P28" s="21">
        <f>I28</f>
        <v>0.6875</v>
      </c>
      <c r="Q28" s="23">
        <f>K28</f>
        <v>16</v>
      </c>
    </row>
    <row r="29" spans="1:17" x14ac:dyDescent="0.25">
      <c r="A29" s="8" t="s">
        <v>55</v>
      </c>
      <c r="B29">
        <v>9</v>
      </c>
      <c r="C29">
        <v>7</v>
      </c>
      <c r="D29" s="2">
        <v>10610000000</v>
      </c>
      <c r="E29" s="2">
        <v>4980000000</v>
      </c>
      <c r="F29">
        <v>16</v>
      </c>
      <c r="G29" s="2">
        <v>15590000000</v>
      </c>
      <c r="I29" s="21">
        <f>COUNTIFS(tblTender[Equipment_Category],"Material Handling",tblTender[Status],"Win")/COUNTIF(tblTender[Equipment_Category],"Material Handling")</f>
        <v>0.4375</v>
      </c>
      <c r="J29" s="22">
        <f>AVERAGEIF(tblTender[Equipment_Category],"Material Handling",tblTender[Tender_Value_IDR])/1000000</f>
        <v>974.375</v>
      </c>
      <c r="K29" s="23">
        <f>COUNTIF(tblTender[Equipment_Category],"Material Handling")</f>
        <v>16</v>
      </c>
      <c r="L29" s="23" t="str">
        <f t="shared" ref="L29:L32" si="0">IF(AND(I29&gt;=0.7,J29&gt;=1000),"⭐ STAR",IF(I29&gt;=0.8,"⚡ QUICK WIN",IF(J29&gt;=1500,"💰 BIG DEAL","STEADY")))</f>
        <v>STEADY</v>
      </c>
      <c r="N29" s="18" t="str">
        <f>A29</f>
        <v>Material Handling</v>
      </c>
      <c r="O29" s="24">
        <f t="shared" ref="O29:O32" si="1">J29</f>
        <v>974.375</v>
      </c>
      <c r="P29" s="21">
        <f t="shared" ref="P29:P32" si="2">I29</f>
        <v>0.4375</v>
      </c>
      <c r="Q29" s="23">
        <f t="shared" ref="Q29:Q32" si="3">K29</f>
        <v>16</v>
      </c>
    </row>
    <row r="30" spans="1:17" x14ac:dyDescent="0.25">
      <c r="A30" s="8" t="s">
        <v>33</v>
      </c>
      <c r="B30">
        <v>12</v>
      </c>
      <c r="C30">
        <v>20</v>
      </c>
      <c r="D30" s="2">
        <v>32995000000</v>
      </c>
      <c r="E30" s="2">
        <v>51990000000</v>
      </c>
      <c r="F30">
        <v>32</v>
      </c>
      <c r="G30" s="2">
        <v>84985000000</v>
      </c>
      <c r="I30" s="21">
        <f>COUNTIFS(tblTender[Equipment_Category],"Power &amp; Utilities",tblTender[Status],"Win")/COUNTIF(tblTender[Equipment_Category],"Power &amp; Utilities")</f>
        <v>0.625</v>
      </c>
      <c r="J30" s="22">
        <f>AVERAGEIF(tblTender[Equipment_Category],"Power &amp; Utilities",tblTender[Tender_Value_IDR])/1000000</f>
        <v>2655.78125</v>
      </c>
      <c r="K30" s="23">
        <f>COUNTIF(tblTender[Equipment_Category],"Power &amp; Utilities")</f>
        <v>32</v>
      </c>
      <c r="L30" s="23" t="str">
        <f t="shared" si="0"/>
        <v>💰 BIG DEAL</v>
      </c>
      <c r="N30" s="18" t="str">
        <f t="shared" ref="N30:N32" si="4">A30</f>
        <v>Power &amp; Utilities</v>
      </c>
      <c r="O30" s="24">
        <f t="shared" si="1"/>
        <v>2655.78125</v>
      </c>
      <c r="P30" s="21">
        <f t="shared" si="2"/>
        <v>0.625</v>
      </c>
      <c r="Q30" s="23">
        <f t="shared" si="3"/>
        <v>32</v>
      </c>
    </row>
    <row r="31" spans="1:17" x14ac:dyDescent="0.25">
      <c r="A31" s="8" t="s">
        <v>21</v>
      </c>
      <c r="B31">
        <v>6</v>
      </c>
      <c r="C31">
        <v>24</v>
      </c>
      <c r="D31" s="2">
        <v>13460000000</v>
      </c>
      <c r="E31" s="2">
        <v>36810000000</v>
      </c>
      <c r="F31">
        <v>30</v>
      </c>
      <c r="G31" s="2">
        <v>50270000000</v>
      </c>
      <c r="I31" s="21">
        <f>COUNTIFS(tblTender[Equipment_Category],"Process Machinery",tblTender[Status],"Win")/COUNTIF(tblTender[Equipment_Category],"Process Machinery")</f>
        <v>0.8</v>
      </c>
      <c r="J31" s="22">
        <f>AVERAGEIF(tblTender[Equipment_Category],"Process Machinery",tblTender[Tender_Value_IDR])/1000000</f>
        <v>1675.6666666666667</v>
      </c>
      <c r="K31" s="23">
        <f>COUNTIF(tblTender[Equipment_Category],"Process Machinery")</f>
        <v>30</v>
      </c>
      <c r="L31" s="23" t="str">
        <f t="shared" si="0"/>
        <v>⭐ STAR</v>
      </c>
      <c r="N31" s="18" t="str">
        <f t="shared" si="4"/>
        <v>Process Machinery</v>
      </c>
      <c r="O31" s="24">
        <f t="shared" si="1"/>
        <v>1675.6666666666667</v>
      </c>
      <c r="P31" s="21">
        <f t="shared" si="2"/>
        <v>0.8</v>
      </c>
      <c r="Q31" s="23">
        <f t="shared" si="3"/>
        <v>30</v>
      </c>
    </row>
    <row r="32" spans="1:17" x14ac:dyDescent="0.25">
      <c r="A32" s="8" t="s">
        <v>77</v>
      </c>
      <c r="C32">
        <v>10</v>
      </c>
      <c r="D32" s="2"/>
      <c r="E32" s="2">
        <v>2745000000</v>
      </c>
      <c r="F32">
        <v>10</v>
      </c>
      <c r="G32" s="2">
        <v>2745000000</v>
      </c>
      <c r="I32" s="21">
        <f>COUNTIFS(tblTender[Equipment_Category],"Spare Parts",tblTender[Status],"Win")/COUNTIF(tblTender[Equipment_Category],"Spare Parts")</f>
        <v>1</v>
      </c>
      <c r="J32" s="22">
        <f>AVERAGEIF(tblTender[Equipment_Category],"Spare Parts",tblTender[Tender_Value_IDR])/1000000</f>
        <v>274.5</v>
      </c>
      <c r="K32" s="23">
        <f>COUNTIF(tblTender[Equipment_Category],"Spare Parts")</f>
        <v>10</v>
      </c>
      <c r="L32" s="23" t="str">
        <f t="shared" si="0"/>
        <v>⚡ QUICK WIN</v>
      </c>
      <c r="N32" s="18" t="str">
        <f t="shared" si="4"/>
        <v>Spare Parts</v>
      </c>
      <c r="O32" s="24">
        <f t="shared" si="1"/>
        <v>274.5</v>
      </c>
      <c r="P32" s="21">
        <f t="shared" si="2"/>
        <v>1</v>
      </c>
      <c r="Q32" s="23">
        <f t="shared" si="3"/>
        <v>10</v>
      </c>
    </row>
    <row r="33" spans="1:7" x14ac:dyDescent="0.25">
      <c r="A33" s="8" t="s">
        <v>250</v>
      </c>
      <c r="B33">
        <v>32</v>
      </c>
      <c r="C33">
        <v>72</v>
      </c>
      <c r="D33" s="2">
        <v>62190000000</v>
      </c>
      <c r="E33" s="2">
        <v>105275000000</v>
      </c>
      <c r="F33">
        <v>104</v>
      </c>
      <c r="G33" s="2">
        <v>167465000000</v>
      </c>
    </row>
    <row r="59" spans="1:8" x14ac:dyDescent="0.25">
      <c r="A59" s="9" t="s">
        <v>11</v>
      </c>
      <c r="B59" t="s">
        <v>36</v>
      </c>
    </row>
    <row r="61" spans="1:8" x14ac:dyDescent="0.25">
      <c r="A61" s="34" t="s">
        <v>314</v>
      </c>
      <c r="B61" s="3" t="s">
        <v>239</v>
      </c>
      <c r="D61" s="3" t="s">
        <v>296</v>
      </c>
      <c r="E61" s="3" t="s">
        <v>297</v>
      </c>
      <c r="G61" t="s">
        <v>298</v>
      </c>
      <c r="H61" t="s">
        <v>299</v>
      </c>
    </row>
    <row r="62" spans="1:8" x14ac:dyDescent="0.25">
      <c r="A62" s="8" t="s">
        <v>37</v>
      </c>
      <c r="B62">
        <v>25</v>
      </c>
      <c r="D62" s="30">
        <f>COUNTIFS(tblTender[Win_Loss_Reason],"Higher Price",tblTender[Status],"Loss")/COUNTIF(tblTender[Status],"Loss")</f>
        <v>0.78125</v>
      </c>
      <c r="E62" s="31">
        <f>SUMIFS(tblTender[Tender_Value_IDR],tblTender[Win_Loss_Reason],"Higher Price",tblTender[Status],"Loss")/1000000</f>
        <v>49810</v>
      </c>
      <c r="G62" t="str">
        <f>A62</f>
        <v>Higher Price</v>
      </c>
      <c r="H62">
        <f>GETPIVOTDATA("Tender_ID",$A$61,"Win_Loss_Reason","Higher Price")</f>
        <v>25</v>
      </c>
    </row>
    <row r="63" spans="1:8" x14ac:dyDescent="0.25">
      <c r="A63" s="8" t="s">
        <v>80</v>
      </c>
      <c r="B63">
        <v>6</v>
      </c>
      <c r="D63" s="30">
        <f>COUNTIFS(tblTender[Win_Loss_Reason],"Lost to Tender Specs",tblTender[Status],"Loss")/COUNTIF(tblTender[Status],"Loss")</f>
        <v>0.1875</v>
      </c>
      <c r="E63" s="31">
        <f>SUMIFS(tblTender[Tender_Value_IDR],tblTender[Win_Loss_Reason],"Lost to Tender Specs",tblTender[Status],"Loss")/1000000</f>
        <v>11130</v>
      </c>
      <c r="G63" t="str">
        <f t="shared" ref="G63:G64" si="5">A63</f>
        <v>Lost to Tender Specs</v>
      </c>
      <c r="H63">
        <f>GETPIVOTDATA("Tender_ID",$A$61,"Win_Loss_Reason","Lost to Tender Specs")</f>
        <v>6</v>
      </c>
    </row>
    <row r="64" spans="1:8" x14ac:dyDescent="0.25">
      <c r="A64" s="8" t="s">
        <v>58</v>
      </c>
      <c r="B64">
        <v>1</v>
      </c>
      <c r="D64" s="30">
        <f>COUNTIFS(tblTender[Win_Loss_Reason],"Technical Mismatch",tblTender[Status],"Loss")/COUNTIF(tblTender[Status],"Loss")</f>
        <v>3.125E-2</v>
      </c>
      <c r="E64" s="31">
        <f>SUMIFS(tblTender[Tender_Value_IDR],tblTender[Win_Loss_Reason],"Technical Mismatch",tblTender[Status],"Loss")/1000000</f>
        <v>1250</v>
      </c>
      <c r="G64" t="str">
        <f t="shared" si="5"/>
        <v>Technical Mismatch</v>
      </c>
      <c r="H64">
        <f>GETPIVOTDATA("Tender_ID",$A$61,"Win_Loss_Reason","Technical Mismatch")</f>
        <v>1</v>
      </c>
    </row>
    <row r="65" spans="1:8" x14ac:dyDescent="0.25">
      <c r="A65" s="8" t="s">
        <v>250</v>
      </c>
      <c r="B65">
        <v>32</v>
      </c>
      <c r="D65" s="30">
        <f>COUNTIFS(tblTender[Win_Loss_Reason],"Established Relationship",tblTender[Status],"Loss")/COUNTIF(tblTender[Status],"Loss")</f>
        <v>0</v>
      </c>
      <c r="E65" s="31">
        <f>SUMIFS(tblTender[Tender_Value_IDR],tblTender[Win_Loss_Reason],"Established Relationship",tblTender[Status],"Loss")/1000000</f>
        <v>0</v>
      </c>
      <c r="H65">
        <f>SUM(H62:H64)</f>
        <v>32</v>
      </c>
    </row>
    <row r="82" spans="1:5" x14ac:dyDescent="0.25">
      <c r="A82" s="9" t="s">
        <v>11</v>
      </c>
      <c r="B82" t="s">
        <v>36</v>
      </c>
    </row>
    <row r="84" spans="1:5" x14ac:dyDescent="0.25">
      <c r="A84" s="9" t="s">
        <v>295</v>
      </c>
      <c r="B84" s="9" t="s">
        <v>254</v>
      </c>
    </row>
    <row r="85" spans="1:5" x14ac:dyDescent="0.25">
      <c r="A85" s="34" t="s">
        <v>265</v>
      </c>
      <c r="B85" s="3" t="s">
        <v>37</v>
      </c>
      <c r="C85" s="3" t="s">
        <v>80</v>
      </c>
      <c r="D85" s="3" t="s">
        <v>58</v>
      </c>
      <c r="E85" s="3" t="s">
        <v>300</v>
      </c>
    </row>
    <row r="86" spans="1:5" x14ac:dyDescent="0.25">
      <c r="A86" s="8" t="s">
        <v>47</v>
      </c>
      <c r="B86">
        <v>6</v>
      </c>
      <c r="E86">
        <v>6</v>
      </c>
    </row>
    <row r="87" spans="1:5" x14ac:dyDescent="0.25">
      <c r="A87" s="8" t="s">
        <v>31</v>
      </c>
      <c r="B87">
        <v>10</v>
      </c>
      <c r="C87">
        <v>1</v>
      </c>
      <c r="E87">
        <v>11</v>
      </c>
    </row>
    <row r="88" spans="1:5" x14ac:dyDescent="0.25">
      <c r="A88" s="8" t="s">
        <v>19</v>
      </c>
      <c r="B88">
        <v>9</v>
      </c>
      <c r="C88">
        <v>5</v>
      </c>
      <c r="D88">
        <v>1</v>
      </c>
      <c r="E88">
        <v>15</v>
      </c>
    </row>
    <row r="89" spans="1:5" x14ac:dyDescent="0.25">
      <c r="A89" s="8" t="s">
        <v>300</v>
      </c>
      <c r="B89">
        <v>25</v>
      </c>
      <c r="C89">
        <v>6</v>
      </c>
      <c r="D89">
        <v>1</v>
      </c>
      <c r="E89">
        <v>32</v>
      </c>
    </row>
    <row r="90" spans="1:5" x14ac:dyDescent="0.25">
      <c r="A90" s="8"/>
    </row>
    <row r="91" spans="1:5" x14ac:dyDescent="0.25">
      <c r="A91" s="8"/>
    </row>
    <row r="92" spans="1:5" x14ac:dyDescent="0.25">
      <c r="A92" s="9" t="s">
        <v>4</v>
      </c>
      <c r="B92" t="s">
        <v>55</v>
      </c>
    </row>
    <row r="93" spans="1:5" x14ac:dyDescent="0.25">
      <c r="A93" s="9" t="s">
        <v>11</v>
      </c>
      <c r="B93" t="s">
        <v>36</v>
      </c>
    </row>
    <row r="95" spans="1:5" x14ac:dyDescent="0.25">
      <c r="A95" s="34" t="s">
        <v>273</v>
      </c>
      <c r="B95" s="3" t="s">
        <v>300</v>
      </c>
      <c r="C95" s="3" t="s">
        <v>315</v>
      </c>
    </row>
    <row r="96" spans="1:5" x14ac:dyDescent="0.25">
      <c r="A96" s="8" t="s">
        <v>37</v>
      </c>
      <c r="B96">
        <v>5</v>
      </c>
      <c r="C96" s="2">
        <v>5620000000</v>
      </c>
    </row>
    <row r="97" spans="1:9" x14ac:dyDescent="0.25">
      <c r="A97" s="32" t="s">
        <v>227</v>
      </c>
      <c r="B97">
        <v>1</v>
      </c>
      <c r="C97" s="2">
        <v>1080000000</v>
      </c>
    </row>
    <row r="98" spans="1:9" x14ac:dyDescent="0.25">
      <c r="A98" s="32" t="s">
        <v>85</v>
      </c>
      <c r="B98">
        <v>2</v>
      </c>
      <c r="C98" s="2">
        <v>2700000000</v>
      </c>
    </row>
    <row r="99" spans="1:9" x14ac:dyDescent="0.25">
      <c r="A99" s="32" t="s">
        <v>205</v>
      </c>
      <c r="B99">
        <v>1</v>
      </c>
      <c r="C99" s="2">
        <v>950000000</v>
      </c>
    </row>
    <row r="100" spans="1:9" x14ac:dyDescent="0.25">
      <c r="A100" s="32" t="s">
        <v>117</v>
      </c>
      <c r="B100">
        <v>1</v>
      </c>
      <c r="C100" s="2">
        <v>890000000</v>
      </c>
    </row>
    <row r="101" spans="1:9" x14ac:dyDescent="0.25">
      <c r="A101" s="8" t="s">
        <v>80</v>
      </c>
      <c r="B101">
        <v>3</v>
      </c>
      <c r="C101" s="2">
        <v>3740000000</v>
      </c>
    </row>
    <row r="102" spans="1:9" x14ac:dyDescent="0.25">
      <c r="A102" s="32" t="s">
        <v>56</v>
      </c>
      <c r="B102">
        <v>1</v>
      </c>
      <c r="C102" s="2">
        <v>1080000000</v>
      </c>
    </row>
    <row r="103" spans="1:9" x14ac:dyDescent="0.25">
      <c r="A103" s="32" t="s">
        <v>131</v>
      </c>
      <c r="B103">
        <v>2</v>
      </c>
      <c r="C103" s="2">
        <v>2660000000</v>
      </c>
    </row>
    <row r="104" spans="1:9" x14ac:dyDescent="0.25">
      <c r="A104" s="8" t="s">
        <v>58</v>
      </c>
      <c r="B104">
        <v>1</v>
      </c>
      <c r="C104" s="2">
        <v>1250000000</v>
      </c>
    </row>
    <row r="105" spans="1:9" x14ac:dyDescent="0.25">
      <c r="A105" s="32" t="s">
        <v>56</v>
      </c>
      <c r="B105">
        <v>1</v>
      </c>
      <c r="C105" s="2">
        <v>1250000000</v>
      </c>
    </row>
    <row r="106" spans="1:9" x14ac:dyDescent="0.25">
      <c r="A106" s="8" t="s">
        <v>250</v>
      </c>
      <c r="B106">
        <v>9</v>
      </c>
      <c r="C106" s="2">
        <v>10610000000</v>
      </c>
    </row>
    <row r="111" spans="1:9" x14ac:dyDescent="0.25">
      <c r="A111" s="9" t="s">
        <v>295</v>
      </c>
      <c r="B111" s="9" t="s">
        <v>254</v>
      </c>
      <c r="F111" s="10"/>
    </row>
    <row r="112" spans="1:9" x14ac:dyDescent="0.25">
      <c r="A112" s="9" t="s">
        <v>253</v>
      </c>
      <c r="B112" t="s">
        <v>36</v>
      </c>
      <c r="C112" t="s">
        <v>24</v>
      </c>
      <c r="D112" t="s">
        <v>250</v>
      </c>
      <c r="G112" s="37" t="s">
        <v>318</v>
      </c>
      <c r="H112" s="36" t="s">
        <v>239</v>
      </c>
      <c r="I112" s="36" t="s">
        <v>255</v>
      </c>
    </row>
    <row r="113" spans="1:15" x14ac:dyDescent="0.25">
      <c r="A113" s="8" t="s">
        <v>29</v>
      </c>
      <c r="B113">
        <v>2</v>
      </c>
      <c r="C113">
        <v>4</v>
      </c>
      <c r="D113">
        <v>6</v>
      </c>
      <c r="F113" s="43"/>
      <c r="G113" t="str">
        <f t="shared" ref="G113:G129" si="6">A113</f>
        <v>Q1-2022</v>
      </c>
      <c r="H113" s="3">
        <v>6</v>
      </c>
      <c r="I113" s="40">
        <f>COUNTIFS(tblTender[Tender_Quarter],$G113,tblTender[Status],"Win")/COUNTIF(tblTender[Tender_Quarter],$G113)</f>
        <v>0.66666666666666663</v>
      </c>
      <c r="O113" s="11"/>
    </row>
    <row r="114" spans="1:15" x14ac:dyDescent="0.25">
      <c r="A114" s="8" t="s">
        <v>111</v>
      </c>
      <c r="B114">
        <v>2</v>
      </c>
      <c r="C114">
        <v>4</v>
      </c>
      <c r="D114">
        <v>6</v>
      </c>
      <c r="F114" s="43"/>
      <c r="G114" t="str">
        <f t="shared" si="6"/>
        <v>Q1-2023</v>
      </c>
      <c r="H114" s="3">
        <v>6</v>
      </c>
      <c r="I114" s="40">
        <f>COUNTIFS(tblTender[Tender_Quarter],$G114,tblTender[Status],"Win")/COUNTIF(tblTender[Tender_Quarter],$G114)</f>
        <v>0.66666666666666663</v>
      </c>
    </row>
    <row r="115" spans="1:15" x14ac:dyDescent="0.25">
      <c r="A115" s="8" t="s">
        <v>159</v>
      </c>
      <c r="B115">
        <v>2</v>
      </c>
      <c r="C115">
        <v>4</v>
      </c>
      <c r="D115">
        <v>6</v>
      </c>
      <c r="F115" s="43"/>
      <c r="G115" t="str">
        <f t="shared" si="6"/>
        <v>Q1-2024</v>
      </c>
      <c r="H115" s="3">
        <v>6</v>
      </c>
      <c r="I115" s="40">
        <f>COUNTIFS(tblTender[Tender_Quarter],$G115,tblTender[Status],"Win")/COUNTIF(tblTender[Tender_Quarter],$G115)</f>
        <v>0.66666666666666663</v>
      </c>
    </row>
    <row r="116" spans="1:15" x14ac:dyDescent="0.25">
      <c r="A116" s="8" t="s">
        <v>201</v>
      </c>
      <c r="B116">
        <v>1</v>
      </c>
      <c r="C116">
        <v>5</v>
      </c>
      <c r="D116">
        <v>6</v>
      </c>
      <c r="F116" s="43"/>
      <c r="G116" t="str">
        <f t="shared" si="6"/>
        <v>Q1-2025</v>
      </c>
      <c r="H116" s="3">
        <v>6</v>
      </c>
      <c r="I116" s="40">
        <f>COUNTIFS(tblTender[Tender_Quarter],$G116,tblTender[Status],"Win")/COUNTIF(tblTender[Tender_Quarter],$G116)</f>
        <v>0.83333333333333337</v>
      </c>
    </row>
    <row r="117" spans="1:15" x14ac:dyDescent="0.25">
      <c r="A117" s="8" t="s">
        <v>63</v>
      </c>
      <c r="B117">
        <v>3</v>
      </c>
      <c r="C117">
        <v>4</v>
      </c>
      <c r="D117">
        <v>7</v>
      </c>
      <c r="F117" s="43"/>
      <c r="G117" t="str">
        <f t="shared" si="6"/>
        <v>Q2-2022</v>
      </c>
      <c r="H117" s="3">
        <v>7</v>
      </c>
      <c r="I117" s="40">
        <f>COUNTIFS(tblTender[Tender_Quarter],$G117,tblTender[Status],"Win")/COUNTIF(tblTender[Tender_Quarter],$G117)</f>
        <v>0.5714285714285714</v>
      </c>
    </row>
    <row r="118" spans="1:15" x14ac:dyDescent="0.25">
      <c r="A118" s="8" t="s">
        <v>123</v>
      </c>
      <c r="B118">
        <v>3</v>
      </c>
      <c r="C118">
        <v>4</v>
      </c>
      <c r="D118">
        <v>7</v>
      </c>
      <c r="F118" s="43"/>
      <c r="G118" t="str">
        <f t="shared" si="6"/>
        <v>Q2-2023</v>
      </c>
      <c r="H118" s="3">
        <v>7</v>
      </c>
      <c r="I118" s="40">
        <f>COUNTIFS(tblTender[Tender_Quarter],$G118,tblTender[Status],"Win")/COUNTIF(tblTender[Tender_Quarter],$G118)</f>
        <v>0.5714285714285714</v>
      </c>
    </row>
    <row r="119" spans="1:15" x14ac:dyDescent="0.25">
      <c r="A119" s="8" t="s">
        <v>168</v>
      </c>
      <c r="B119">
        <v>2</v>
      </c>
      <c r="C119">
        <v>5</v>
      </c>
      <c r="D119">
        <v>7</v>
      </c>
      <c r="F119" s="43"/>
      <c r="G119" t="str">
        <f t="shared" si="6"/>
        <v>Q2-2024</v>
      </c>
      <c r="H119" s="3">
        <v>7</v>
      </c>
      <c r="I119" s="40">
        <f>COUNTIFS(tblTender[Tender_Quarter],$G119,tblTender[Status],"Win")/COUNTIF(tblTender[Tender_Quarter],$G119)</f>
        <v>0.7142857142857143</v>
      </c>
    </row>
    <row r="120" spans="1:15" x14ac:dyDescent="0.25">
      <c r="A120" s="8" t="s">
        <v>209</v>
      </c>
      <c r="B120">
        <v>2</v>
      </c>
      <c r="C120">
        <v>4</v>
      </c>
      <c r="D120">
        <v>6</v>
      </c>
      <c r="F120" s="43"/>
      <c r="G120" t="str">
        <f t="shared" si="6"/>
        <v>Q2-2025</v>
      </c>
      <c r="H120" s="3">
        <v>6</v>
      </c>
      <c r="I120" s="40">
        <f>COUNTIFS(tblTender[Tender_Quarter],$G120,tblTender[Status],"Win")/COUNTIF(tblTender[Tender_Quarter],$G120)</f>
        <v>0.66666666666666663</v>
      </c>
    </row>
    <row r="121" spans="1:15" x14ac:dyDescent="0.25">
      <c r="A121" s="8" t="s">
        <v>81</v>
      </c>
      <c r="B121">
        <v>3</v>
      </c>
      <c r="C121">
        <v>4</v>
      </c>
      <c r="D121">
        <v>7</v>
      </c>
      <c r="F121" s="43"/>
      <c r="G121" t="str">
        <f t="shared" si="6"/>
        <v>Q3-2022</v>
      </c>
      <c r="H121" s="3">
        <v>7</v>
      </c>
      <c r="I121" s="40">
        <f>COUNTIFS(tblTender[Tender_Quarter],$G121,tblTender[Status],"Win")/COUNTIF(tblTender[Tender_Quarter],$G121)</f>
        <v>0.5714285714285714</v>
      </c>
    </row>
    <row r="122" spans="1:15" x14ac:dyDescent="0.25">
      <c r="A122" s="8" t="s">
        <v>137</v>
      </c>
      <c r="B122">
        <v>1</v>
      </c>
      <c r="C122">
        <v>6</v>
      </c>
      <c r="D122">
        <v>7</v>
      </c>
      <c r="F122" s="43"/>
      <c r="G122" t="str">
        <f t="shared" si="6"/>
        <v>Q3-2023</v>
      </c>
      <c r="H122" s="3">
        <v>7</v>
      </c>
      <c r="I122" s="40">
        <f>COUNTIFS(tblTender[Tender_Quarter],$G122,tblTender[Status],"Win")/COUNTIF(tblTender[Tender_Quarter],$G122)</f>
        <v>0.8571428571428571</v>
      </c>
    </row>
    <row r="123" spans="1:15" x14ac:dyDescent="0.25">
      <c r="A123" s="8" t="s">
        <v>180</v>
      </c>
      <c r="B123">
        <v>2</v>
      </c>
      <c r="C123">
        <v>4</v>
      </c>
      <c r="D123">
        <v>6</v>
      </c>
      <c r="F123" s="43"/>
      <c r="G123" t="str">
        <f t="shared" si="6"/>
        <v>Q3-2024</v>
      </c>
      <c r="H123" s="3">
        <v>6</v>
      </c>
      <c r="I123" s="40">
        <f>COUNTIFS(tblTender[Tender_Quarter],$G123,tblTender[Status],"Win")/COUNTIF(tblTender[Tender_Quarter],$G123)</f>
        <v>0.66666666666666663</v>
      </c>
    </row>
    <row r="124" spans="1:15" x14ac:dyDescent="0.25">
      <c r="A124" s="8" t="s">
        <v>221</v>
      </c>
      <c r="B124">
        <v>2</v>
      </c>
      <c r="C124">
        <v>5</v>
      </c>
      <c r="D124">
        <v>7</v>
      </c>
      <c r="F124" s="43"/>
      <c r="G124" t="str">
        <f t="shared" si="6"/>
        <v>Q3-2025</v>
      </c>
      <c r="H124" s="3">
        <v>7</v>
      </c>
      <c r="I124" s="40">
        <f>COUNTIFS(tblTender[Tender_Quarter],$G124,tblTender[Status],"Win")/COUNTIF(tblTender[Tender_Quarter],$G124)</f>
        <v>0.7142857142857143</v>
      </c>
    </row>
    <row r="125" spans="1:15" x14ac:dyDescent="0.25">
      <c r="A125" s="8" t="s">
        <v>96</v>
      </c>
      <c r="B125">
        <v>2</v>
      </c>
      <c r="C125">
        <v>5</v>
      </c>
      <c r="D125">
        <v>7</v>
      </c>
      <c r="F125" s="43"/>
      <c r="G125" t="str">
        <f t="shared" si="6"/>
        <v>Q4-2022</v>
      </c>
      <c r="H125" s="3">
        <v>7</v>
      </c>
      <c r="I125" s="40">
        <f>COUNTIFS(tblTender[Tender_Quarter],$G125,tblTender[Status],"Win")/COUNTIF(tblTender[Tender_Quarter],$G125)</f>
        <v>0.7142857142857143</v>
      </c>
    </row>
    <row r="126" spans="1:15" x14ac:dyDescent="0.25">
      <c r="A126" s="8" t="s">
        <v>148</v>
      </c>
      <c r="B126">
        <v>2</v>
      </c>
      <c r="C126">
        <v>4</v>
      </c>
      <c r="D126">
        <v>6</v>
      </c>
      <c r="F126" s="43"/>
      <c r="G126" t="str">
        <f t="shared" si="6"/>
        <v>Q4-2023</v>
      </c>
      <c r="H126" s="3">
        <v>6</v>
      </c>
      <c r="I126" s="40">
        <f>COUNTIFS(tblTender[Tender_Quarter],$G126,tblTender[Status],"Win")/COUNTIF(tblTender[Tender_Quarter],$G126)</f>
        <v>0.66666666666666663</v>
      </c>
    </row>
    <row r="127" spans="1:15" x14ac:dyDescent="0.25">
      <c r="A127" s="8" t="s">
        <v>191</v>
      </c>
      <c r="B127">
        <v>2</v>
      </c>
      <c r="C127">
        <v>5</v>
      </c>
      <c r="D127">
        <v>7</v>
      </c>
      <c r="F127" s="43"/>
      <c r="G127" t="str">
        <f t="shared" si="6"/>
        <v>Q4-2024</v>
      </c>
      <c r="H127" s="3">
        <v>7</v>
      </c>
      <c r="I127" s="40">
        <f>COUNTIFS(tblTender[Tender_Quarter],$G127,tblTender[Status],"Win")/COUNTIF(tblTender[Tender_Quarter],$G127)</f>
        <v>0.7142857142857143</v>
      </c>
    </row>
    <row r="128" spans="1:15" x14ac:dyDescent="0.25">
      <c r="A128" s="8" t="s">
        <v>231</v>
      </c>
      <c r="B128">
        <v>1</v>
      </c>
      <c r="C128">
        <v>5</v>
      </c>
      <c r="D128">
        <v>6</v>
      </c>
      <c r="F128" s="43"/>
      <c r="G128" t="str">
        <f t="shared" si="6"/>
        <v>Q4-2025</v>
      </c>
      <c r="H128" s="3">
        <v>6</v>
      </c>
      <c r="I128" s="40">
        <f>COUNTIFS(tblTender[Tender_Quarter],$G128,tblTender[Status],"Win")/COUNTIF(tblTender[Tender_Quarter],$G128)</f>
        <v>0.83333333333333337</v>
      </c>
    </row>
    <row r="129" spans="1:8" x14ac:dyDescent="0.25">
      <c r="A129" s="8" t="s">
        <v>250</v>
      </c>
      <c r="B129">
        <v>32</v>
      </c>
      <c r="C129">
        <v>72</v>
      </c>
      <c r="D129">
        <v>104</v>
      </c>
      <c r="G129" t="str">
        <f t="shared" si="6"/>
        <v>Grand Total</v>
      </c>
    </row>
    <row r="132" spans="1:8" ht="18.75" x14ac:dyDescent="0.3">
      <c r="A132" s="44" t="s">
        <v>355</v>
      </c>
    </row>
    <row r="135" spans="1:8" x14ac:dyDescent="0.25">
      <c r="A135" s="9" t="s">
        <v>295</v>
      </c>
      <c r="B135" s="9" t="s">
        <v>254</v>
      </c>
    </row>
    <row r="136" spans="1:8" x14ac:dyDescent="0.25">
      <c r="A136" s="9" t="s">
        <v>253</v>
      </c>
      <c r="B136" t="s">
        <v>36</v>
      </c>
      <c r="C136" t="s">
        <v>24</v>
      </c>
      <c r="D136" t="s">
        <v>250</v>
      </c>
      <c r="E136" s="36" t="s">
        <v>356</v>
      </c>
      <c r="F136" s="36" t="s">
        <v>239</v>
      </c>
      <c r="G136" s="36" t="s">
        <v>255</v>
      </c>
    </row>
    <row r="137" spans="1:8" x14ac:dyDescent="0.25">
      <c r="A137" s="8" t="s">
        <v>54</v>
      </c>
      <c r="B137">
        <v>5</v>
      </c>
      <c r="C137">
        <v>9</v>
      </c>
      <c r="D137">
        <v>14</v>
      </c>
      <c r="E137" s="3" t="str">
        <f>A137</f>
        <v>Central Java</v>
      </c>
      <c r="F137" s="3">
        <f>GETPIVOTDATA("Tender_ID",D137,"Client_Region","Central Java")</f>
        <v>14</v>
      </c>
      <c r="G137" s="30">
        <f>GETPIVOTDATA("Tender_ID",$A$135,"Client_Region",E137,"Status","Win")/F137</f>
        <v>0.6428571428571429</v>
      </c>
    </row>
    <row r="138" spans="1:8" x14ac:dyDescent="0.25">
      <c r="A138" s="8" t="s">
        <v>41</v>
      </c>
      <c r="B138">
        <v>2</v>
      </c>
      <c r="C138">
        <v>12</v>
      </c>
      <c r="D138">
        <v>14</v>
      </c>
      <c r="E138" s="3" t="str">
        <f t="shared" ref="E138:E144" si="7">A138</f>
        <v>East Java</v>
      </c>
      <c r="F138" s="3">
        <f>GETPIVOTDATA("Tender_ID",D138,"Client_Region","East java")</f>
        <v>14</v>
      </c>
      <c r="G138" s="30">
        <f t="shared" ref="G138:G144" si="8">GETPIVOTDATA("Tender_ID",$A$135,"Client_Region",E138,"Status","Win")/F138</f>
        <v>0.8571428571428571</v>
      </c>
    </row>
    <row r="139" spans="1:8" x14ac:dyDescent="0.25">
      <c r="A139" s="8" t="s">
        <v>60</v>
      </c>
      <c r="B139">
        <v>5</v>
      </c>
      <c r="C139">
        <v>7</v>
      </c>
      <c r="D139">
        <v>12</v>
      </c>
      <c r="E139" s="3" t="str">
        <f t="shared" si="7"/>
        <v>East Kalimantan</v>
      </c>
      <c r="F139" s="3">
        <f>GETPIVOTDATA("Tender_ID",D139,"Client_Region","East Kalimantan")</f>
        <v>12</v>
      </c>
      <c r="G139" s="30">
        <f t="shared" si="8"/>
        <v>0.58333333333333337</v>
      </c>
    </row>
    <row r="140" spans="1:8" x14ac:dyDescent="0.25">
      <c r="A140" s="8" t="s">
        <v>65</v>
      </c>
      <c r="B140">
        <v>3</v>
      </c>
      <c r="C140">
        <v>6</v>
      </c>
      <c r="D140">
        <v>9</v>
      </c>
      <c r="E140" s="3" t="str">
        <f t="shared" si="7"/>
        <v>Jakarta</v>
      </c>
      <c r="F140" s="3">
        <f>GETPIVOTDATA("Tender_ID",D140,"Client_Region","Jakarta")</f>
        <v>9</v>
      </c>
      <c r="G140" s="30">
        <f t="shared" si="8"/>
        <v>0.66666666666666663</v>
      </c>
      <c r="H140" s="45"/>
    </row>
    <row r="141" spans="1:8" x14ac:dyDescent="0.25">
      <c r="A141" s="8" t="s">
        <v>20</v>
      </c>
      <c r="B141">
        <v>6</v>
      </c>
      <c r="C141">
        <v>11</v>
      </c>
      <c r="D141">
        <v>17</v>
      </c>
      <c r="E141" s="3" t="str">
        <f t="shared" si="7"/>
        <v>Lampung</v>
      </c>
      <c r="F141" s="3">
        <f>GETPIVOTDATA("Tender_ID",D141,"Client_Region","Lampung")</f>
        <v>17</v>
      </c>
      <c r="G141" s="30">
        <f t="shared" si="8"/>
        <v>0.6470588235294118</v>
      </c>
    </row>
    <row r="142" spans="1:8" x14ac:dyDescent="0.25">
      <c r="A142" s="8" t="s">
        <v>32</v>
      </c>
      <c r="B142">
        <v>6</v>
      </c>
      <c r="C142">
        <v>6</v>
      </c>
      <c r="D142">
        <v>12</v>
      </c>
      <c r="E142" s="3" t="str">
        <f t="shared" si="7"/>
        <v>Riau</v>
      </c>
      <c r="F142" s="3">
        <f>GETPIVOTDATA("Tender_ID",D142,"Client_Region",E142)</f>
        <v>12</v>
      </c>
      <c r="G142" s="30">
        <f t="shared" si="8"/>
        <v>0.5</v>
      </c>
    </row>
    <row r="143" spans="1:8" x14ac:dyDescent="0.25">
      <c r="A143" s="8" t="s">
        <v>48</v>
      </c>
      <c r="B143">
        <v>4</v>
      </c>
      <c r="C143">
        <v>14</v>
      </c>
      <c r="D143">
        <v>18</v>
      </c>
      <c r="E143" s="3" t="str">
        <f t="shared" si="7"/>
        <v>South Sumatra</v>
      </c>
      <c r="F143" s="3">
        <f t="shared" ref="F143:F144" si="9">GETPIVOTDATA("Tender_ID",D143,"Client_Region",E143)</f>
        <v>18</v>
      </c>
      <c r="G143" s="30">
        <f t="shared" si="8"/>
        <v>0.77777777777777779</v>
      </c>
    </row>
    <row r="144" spans="1:8" x14ac:dyDescent="0.25">
      <c r="A144" s="8" t="s">
        <v>74</v>
      </c>
      <c r="B144">
        <v>1</v>
      </c>
      <c r="C144">
        <v>7</v>
      </c>
      <c r="D144">
        <v>8</v>
      </c>
      <c r="E144" s="3" t="str">
        <f t="shared" si="7"/>
        <v>West Java</v>
      </c>
      <c r="F144" s="3">
        <f t="shared" si="9"/>
        <v>8</v>
      </c>
      <c r="G144" s="30">
        <f t="shared" si="8"/>
        <v>0.875</v>
      </c>
    </row>
    <row r="145" spans="1:5" x14ac:dyDescent="0.25">
      <c r="A145" s="8" t="s">
        <v>250</v>
      </c>
      <c r="B145">
        <v>32</v>
      </c>
      <c r="C145">
        <v>72</v>
      </c>
      <c r="D145">
        <v>104</v>
      </c>
    </row>
    <row r="148" spans="1:5" x14ac:dyDescent="0.25">
      <c r="A148" s="9" t="s">
        <v>239</v>
      </c>
      <c r="B148" s="9" t="s">
        <v>254</v>
      </c>
    </row>
    <row r="149" spans="1:5" x14ac:dyDescent="0.25">
      <c r="A149" s="9" t="s">
        <v>253</v>
      </c>
      <c r="B149" t="s">
        <v>47</v>
      </c>
      <c r="C149" t="s">
        <v>31</v>
      </c>
      <c r="D149" t="s">
        <v>19</v>
      </c>
      <c r="E149" t="s">
        <v>250</v>
      </c>
    </row>
    <row r="150" spans="1:5" x14ac:dyDescent="0.25">
      <c r="A150" s="8" t="s">
        <v>54</v>
      </c>
      <c r="D150">
        <v>14</v>
      </c>
      <c r="E150">
        <v>14</v>
      </c>
    </row>
    <row r="151" spans="1:5" x14ac:dyDescent="0.25">
      <c r="A151" s="8" t="s">
        <v>41</v>
      </c>
      <c r="D151">
        <v>14</v>
      </c>
      <c r="E151">
        <v>14</v>
      </c>
    </row>
    <row r="152" spans="1:5" x14ac:dyDescent="0.25">
      <c r="A152" s="8" t="s">
        <v>60</v>
      </c>
      <c r="C152">
        <v>12</v>
      </c>
      <c r="E152">
        <v>12</v>
      </c>
    </row>
    <row r="153" spans="1:5" x14ac:dyDescent="0.25">
      <c r="A153" s="8" t="s">
        <v>65</v>
      </c>
      <c r="B153">
        <v>9</v>
      </c>
      <c r="E153">
        <v>9</v>
      </c>
    </row>
    <row r="154" spans="1:5" x14ac:dyDescent="0.25">
      <c r="A154" s="8" t="s">
        <v>20</v>
      </c>
      <c r="D154">
        <v>17</v>
      </c>
      <c r="E154">
        <v>17</v>
      </c>
    </row>
    <row r="155" spans="1:5" x14ac:dyDescent="0.25">
      <c r="A155" s="8" t="s">
        <v>32</v>
      </c>
      <c r="C155">
        <v>12</v>
      </c>
      <c r="E155">
        <v>12</v>
      </c>
    </row>
    <row r="156" spans="1:5" x14ac:dyDescent="0.25">
      <c r="A156" s="8" t="s">
        <v>48</v>
      </c>
      <c r="B156">
        <v>7</v>
      </c>
      <c r="D156">
        <v>11</v>
      </c>
      <c r="E156">
        <v>18</v>
      </c>
    </row>
    <row r="157" spans="1:5" x14ac:dyDescent="0.25">
      <c r="A157" s="8" t="s">
        <v>74</v>
      </c>
      <c r="B157">
        <v>8</v>
      </c>
      <c r="E157">
        <v>8</v>
      </c>
    </row>
    <row r="158" spans="1:5" x14ac:dyDescent="0.25">
      <c r="A158" s="8" t="s">
        <v>250</v>
      </c>
      <c r="B158">
        <v>24</v>
      </c>
      <c r="C158">
        <v>24</v>
      </c>
      <c r="D158">
        <v>56</v>
      </c>
      <c r="E158">
        <v>104</v>
      </c>
    </row>
  </sheetData>
  <conditionalFormatting pivot="1" sqref="B150:D157">
    <cfRule type="colorScale" priority="1">
      <colorScale>
        <cfvo type="min"/>
        <cfvo type="max"/>
        <color rgb="FFFCFCFF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35" fitToHeight="2" orientation="portrait" r:id="rId9"/>
  <drawing r:id="rId1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F0174-3E12-4948-B8D3-B8B5FD183A40}">
  <sheetPr>
    <pageSetUpPr fitToPage="1"/>
  </sheetPr>
  <dimension ref="A1:B89"/>
  <sheetViews>
    <sheetView view="pageBreakPreview" zoomScale="80" zoomScaleNormal="100" zoomScaleSheetLayoutView="80" workbookViewId="0">
      <selection activeCell="A81" sqref="A81"/>
    </sheetView>
  </sheetViews>
  <sheetFormatPr defaultRowHeight="15" x14ac:dyDescent="0.25"/>
  <cols>
    <col min="1" max="1" width="89.28515625" bestFit="1" customWidth="1"/>
  </cols>
  <sheetData>
    <row r="1" spans="1:1" x14ac:dyDescent="0.25">
      <c r="A1" s="13" t="s">
        <v>372</v>
      </c>
    </row>
    <row r="3" spans="1:1" x14ac:dyDescent="0.25">
      <c r="A3" s="14" t="s">
        <v>256</v>
      </c>
    </row>
    <row r="4" spans="1:1" x14ac:dyDescent="0.25">
      <c r="A4" t="s">
        <v>257</v>
      </c>
    </row>
    <row r="5" spans="1:1" x14ac:dyDescent="0.25">
      <c r="A5" s="12" t="s">
        <v>258</v>
      </c>
    </row>
    <row r="7" spans="1:1" x14ac:dyDescent="0.25">
      <c r="A7" s="15" t="s">
        <v>259</v>
      </c>
    </row>
    <row r="8" spans="1:1" x14ac:dyDescent="0.25">
      <c r="A8" t="s">
        <v>260</v>
      </c>
    </row>
    <row r="9" spans="1:1" x14ac:dyDescent="0.25">
      <c r="A9" t="s">
        <v>261</v>
      </c>
    </row>
    <row r="11" spans="1:1" x14ac:dyDescent="0.25">
      <c r="A11" s="16" t="s">
        <v>262</v>
      </c>
    </row>
    <row r="12" spans="1:1" x14ac:dyDescent="0.25">
      <c r="A12" t="s">
        <v>263</v>
      </c>
    </row>
    <row r="13" spans="1:1" x14ac:dyDescent="0.25">
      <c r="A13" t="s">
        <v>264</v>
      </c>
    </row>
    <row r="15" spans="1:1" x14ac:dyDescent="0.25">
      <c r="A15" s="25" t="s">
        <v>276</v>
      </c>
    </row>
    <row r="16" spans="1:1" x14ac:dyDescent="0.25">
      <c r="A16" t="s">
        <v>277</v>
      </c>
    </row>
    <row r="17" spans="1:1" x14ac:dyDescent="0.25">
      <c r="A17" t="s">
        <v>278</v>
      </c>
    </row>
    <row r="18" spans="1:1" x14ac:dyDescent="0.25">
      <c r="A18" t="s">
        <v>279</v>
      </c>
    </row>
    <row r="20" spans="1:1" x14ac:dyDescent="0.25">
      <c r="A20" s="26" t="s">
        <v>280</v>
      </c>
    </row>
    <row r="21" spans="1:1" x14ac:dyDescent="0.25">
      <c r="A21" t="s">
        <v>281</v>
      </c>
    </row>
    <row r="22" spans="1:1" x14ac:dyDescent="0.25">
      <c r="A22" t="s">
        <v>282</v>
      </c>
    </row>
    <row r="23" spans="1:1" x14ac:dyDescent="0.25">
      <c r="A23" t="s">
        <v>283</v>
      </c>
    </row>
    <row r="25" spans="1:1" x14ac:dyDescent="0.25">
      <c r="A25" s="27" t="s">
        <v>284</v>
      </c>
    </row>
    <row r="26" spans="1:1" x14ac:dyDescent="0.25">
      <c r="A26" t="s">
        <v>285</v>
      </c>
    </row>
    <row r="27" spans="1:1" x14ac:dyDescent="0.25">
      <c r="A27" t="s">
        <v>286</v>
      </c>
    </row>
    <row r="28" spans="1:1" x14ac:dyDescent="0.25">
      <c r="A28" t="s">
        <v>313</v>
      </c>
    </row>
    <row r="30" spans="1:1" x14ac:dyDescent="0.25">
      <c r="A30" s="28" t="s">
        <v>287</v>
      </c>
    </row>
    <row r="31" spans="1:1" x14ac:dyDescent="0.25">
      <c r="A31" t="s">
        <v>288</v>
      </c>
    </row>
    <row r="32" spans="1:1" x14ac:dyDescent="0.25">
      <c r="A32" t="s">
        <v>289</v>
      </c>
    </row>
    <row r="33" spans="1:2" x14ac:dyDescent="0.25">
      <c r="A33" t="s">
        <v>290</v>
      </c>
    </row>
    <row r="35" spans="1:2" x14ac:dyDescent="0.25">
      <c r="A35" s="29" t="s">
        <v>291</v>
      </c>
    </row>
    <row r="36" spans="1:2" x14ac:dyDescent="0.25">
      <c r="A36" t="s">
        <v>292</v>
      </c>
    </row>
    <row r="37" spans="1:2" x14ac:dyDescent="0.25">
      <c r="A37" t="s">
        <v>293</v>
      </c>
    </row>
    <row r="38" spans="1:2" x14ac:dyDescent="0.25">
      <c r="A38" t="s">
        <v>294</v>
      </c>
    </row>
    <row r="39" spans="1:2" x14ac:dyDescent="0.25">
      <c r="A39" t="s">
        <v>312</v>
      </c>
    </row>
    <row r="41" spans="1:2" x14ac:dyDescent="0.25">
      <c r="A41" s="35" t="s">
        <v>301</v>
      </c>
    </row>
    <row r="42" spans="1:2" x14ac:dyDescent="0.25">
      <c r="A42" t="s">
        <v>302</v>
      </c>
    </row>
    <row r="43" spans="1:2" x14ac:dyDescent="0.25">
      <c r="A43" t="s">
        <v>311</v>
      </c>
    </row>
    <row r="44" spans="1:2" x14ac:dyDescent="0.25">
      <c r="A44" t="s">
        <v>303</v>
      </c>
    </row>
    <row r="45" spans="1:2" x14ac:dyDescent="0.25">
      <c r="A45" s="33" t="s">
        <v>304</v>
      </c>
      <c r="B45" s="33"/>
    </row>
    <row r="47" spans="1:2" x14ac:dyDescent="0.25">
      <c r="A47" s="16" t="s">
        <v>305</v>
      </c>
    </row>
    <row r="48" spans="1:2" x14ac:dyDescent="0.25">
      <c r="A48" t="s">
        <v>316</v>
      </c>
    </row>
    <row r="49" spans="1:1" x14ac:dyDescent="0.25">
      <c r="A49" t="s">
        <v>306</v>
      </c>
    </row>
    <row r="50" spans="1:1" x14ac:dyDescent="0.25">
      <c r="A50" t="s">
        <v>307</v>
      </c>
    </row>
    <row r="52" spans="1:1" x14ac:dyDescent="0.25">
      <c r="A52" s="25" t="s">
        <v>308</v>
      </c>
    </row>
    <row r="53" spans="1:1" x14ac:dyDescent="0.25">
      <c r="A53" t="s">
        <v>317</v>
      </c>
    </row>
    <row r="54" spans="1:1" x14ac:dyDescent="0.25">
      <c r="A54" t="s">
        <v>309</v>
      </c>
    </row>
    <row r="55" spans="1:1" x14ac:dyDescent="0.25">
      <c r="A55" t="s">
        <v>310</v>
      </c>
    </row>
    <row r="57" spans="1:1" x14ac:dyDescent="0.25">
      <c r="A57" s="42" t="s">
        <v>345</v>
      </c>
    </row>
    <row r="58" spans="1:1" x14ac:dyDescent="0.25">
      <c r="A58" t="str">
        <f>"Win rate 2022  = "&amp;TEXT(AVERAGEIFS(Pivot_Analyses!I113:I128,Pivot_Analyses!G113:G128,"Q*-2022"),"0,0%")&amp;" → 2025 = "&amp;TEXT(AVERAGEIFS(Pivot_Analyses!I113:I128,Pivot_Analyses!G113:G128,"Q*-2025"),"0,0%")&amp;", peningkatan "&amp;TEXT(Calculation!B21,"0,0%")&amp;" 4 tahun (rata-rata ~3,3% per tahun)"</f>
        <v>Win rate 2022  = 63,1% → 2025 = 76,2%, peningkatan 13,1% 4 tahun (rata-rata ~3,3% per tahun)</v>
      </c>
    </row>
    <row r="59" spans="1:1" ht="30" x14ac:dyDescent="0.25">
      <c r="A59" s="41" t="s">
        <v>343</v>
      </c>
    </row>
    <row r="60" spans="1:1" ht="30" x14ac:dyDescent="0.25">
      <c r="A60" s="41" t="s">
        <v>344</v>
      </c>
    </row>
    <row r="62" spans="1:1" x14ac:dyDescent="0.25">
      <c r="A62" s="15" t="s">
        <v>346</v>
      </c>
    </row>
    <row r="63" spans="1:1" ht="30" x14ac:dyDescent="0.25">
      <c r="A63" s="41" t="str">
        <f>"Quarter terbaik: "&amp;Calculation!B25&amp;" dengan win rate "&amp;TEXT(Calculation!B26,"0,0%")&amp;" (peak performance lifetime). Quarter terendah : "&amp;Calculation!B27&amp;" dengan "&amp;TEXT(Calculation!B28,"0,0%")&amp;" (starting baseline)."</f>
        <v>Quarter terbaik: Q3-2023 dengan win rate 85,7% (peak performance lifetime). Quarter terendah : Q2-2022 dengan 57,1% (starting baseline).</v>
      </c>
    </row>
    <row r="64" spans="1:1" ht="30" x14ac:dyDescent="0.25">
      <c r="A64" s="41" t="s">
        <v>347</v>
      </c>
    </row>
    <row r="65" spans="1:1" ht="30" x14ac:dyDescent="0.25">
      <c r="A65" s="41" t="s">
        <v>348</v>
      </c>
    </row>
    <row r="67" spans="1:1" x14ac:dyDescent="0.25">
      <c r="A67" s="38" t="s">
        <v>349</v>
      </c>
    </row>
    <row r="68" spans="1:1" x14ac:dyDescent="0.25">
      <c r="A68" t="s">
        <v>350</v>
      </c>
    </row>
    <row r="69" spans="1:1" ht="30" x14ac:dyDescent="0.25">
      <c r="A69" s="41" t="s">
        <v>351</v>
      </c>
    </row>
    <row r="70" spans="1:1" ht="30" x14ac:dyDescent="0.25">
      <c r="A70" s="41" t="s">
        <v>352</v>
      </c>
    </row>
    <row r="71" spans="1:1" ht="30" x14ac:dyDescent="0.25">
      <c r="A71" s="41" t="s">
        <v>353</v>
      </c>
    </row>
    <row r="73" spans="1:1" x14ac:dyDescent="0.25">
      <c r="A73" s="26" t="s">
        <v>357</v>
      </c>
    </row>
    <row r="74" spans="1:1" ht="45" x14ac:dyDescent="0.25">
      <c r="A74" s="46" t="s">
        <v>358</v>
      </c>
    </row>
    <row r="75" spans="1:1" ht="30" x14ac:dyDescent="0.25">
      <c r="A75" s="41" t="s">
        <v>359</v>
      </c>
    </row>
    <row r="76" spans="1:1" ht="45" x14ac:dyDescent="0.25">
      <c r="A76" s="41" t="s">
        <v>360</v>
      </c>
    </row>
    <row r="77" spans="1:1" ht="30" x14ac:dyDescent="0.25">
      <c r="A77" s="41" t="s">
        <v>361</v>
      </c>
    </row>
    <row r="79" spans="1:1" x14ac:dyDescent="0.25">
      <c r="A79" s="15" t="s">
        <v>362</v>
      </c>
    </row>
    <row r="80" spans="1:1" ht="45" x14ac:dyDescent="0.25">
      <c r="A80" s="41" t="s">
        <v>363</v>
      </c>
    </row>
    <row r="81" spans="1:1" ht="30" x14ac:dyDescent="0.25">
      <c r="A81" s="41" t="s">
        <v>364</v>
      </c>
    </row>
    <row r="82" spans="1:1" ht="30" x14ac:dyDescent="0.25">
      <c r="A82" s="41" t="s">
        <v>365</v>
      </c>
    </row>
    <row r="83" spans="1:1" ht="30" x14ac:dyDescent="0.25">
      <c r="A83" s="41" t="s">
        <v>366</v>
      </c>
    </row>
    <row r="85" spans="1:1" x14ac:dyDescent="0.25">
      <c r="A85" s="42" t="s">
        <v>367</v>
      </c>
    </row>
    <row r="86" spans="1:1" ht="30" x14ac:dyDescent="0.25">
      <c r="A86" s="41" t="s">
        <v>368</v>
      </c>
    </row>
    <row r="87" spans="1:1" ht="30" x14ac:dyDescent="0.25">
      <c r="A87" s="41" t="s">
        <v>369</v>
      </c>
    </row>
    <row r="88" spans="1:1" ht="30" x14ac:dyDescent="0.25">
      <c r="A88" s="41" t="s">
        <v>370</v>
      </c>
    </row>
    <row r="89" spans="1:1" ht="30" x14ac:dyDescent="0.25">
      <c r="A89" s="41" t="s">
        <v>371</v>
      </c>
    </row>
  </sheetData>
  <pageMargins left="0.70866141732283472" right="0.70866141732283472" top="0.74803149606299213" bottom="0.74803149606299213" header="0.31496062992125984" footer="0.31496062992125984"/>
  <pageSetup paperSize="9" scale="42" orientation="portrait" r:id="rId1"/>
  <rowBreaks count="2" manualBreakCount="2">
    <brk id="46" max="16383" man="1"/>
    <brk id="78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E3404-2410-4EAF-80F6-D8A936B31963}">
  <sheetPr>
    <pageSetUpPr fitToPage="1"/>
  </sheetPr>
  <dimension ref="A1:V38"/>
  <sheetViews>
    <sheetView tabSelected="1" showWhiteSpace="0" view="pageBreakPreview" zoomScaleNormal="100" zoomScaleSheetLayoutView="100" zoomScalePageLayoutView="70" workbookViewId="0">
      <selection activeCell="T12" sqref="T12"/>
    </sheetView>
  </sheetViews>
  <sheetFormatPr defaultRowHeight="15" x14ac:dyDescent="0.25"/>
  <cols>
    <col min="1" max="1" width="9.7109375" customWidth="1"/>
    <col min="7" max="7" width="9.140625" customWidth="1"/>
    <col min="8" max="8" width="10.5703125" customWidth="1"/>
    <col min="9" max="9" width="14.7109375" customWidth="1"/>
    <col min="15" max="15" width="10.5703125" customWidth="1"/>
    <col min="21" max="21" width="0.140625" customWidth="1"/>
    <col min="22" max="22" width="9.140625" hidden="1" customWidth="1"/>
  </cols>
  <sheetData>
    <row r="1" spans="1:15" ht="42.6" customHeight="1" x14ac:dyDescent="0.25">
      <c r="A1" s="48" t="s">
        <v>373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</row>
    <row r="2" spans="1:15" ht="15.75" x14ac:dyDescent="0.25">
      <c r="A2" s="59" t="s">
        <v>379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</row>
    <row r="3" spans="1:15" ht="2.25" customHeight="1" thickBot="1" x14ac:dyDescent="0.3">
      <c r="A3" s="49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</row>
    <row r="4" spans="1:15" ht="6" customHeight="1" x14ac:dyDescent="0.25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</row>
    <row r="5" spans="1:15" x14ac:dyDescent="0.25">
      <c r="A5" s="51" t="s">
        <v>374</v>
      </c>
      <c r="B5" s="50"/>
      <c r="C5" s="50"/>
      <c r="D5" s="52" t="s">
        <v>375</v>
      </c>
      <c r="E5" s="53"/>
      <c r="F5" s="53"/>
      <c r="G5" s="54" t="s">
        <v>376</v>
      </c>
      <c r="H5" s="55"/>
      <c r="I5" s="55"/>
      <c r="J5" s="57" t="s">
        <v>378</v>
      </c>
      <c r="K5" s="58"/>
      <c r="L5" s="58"/>
      <c r="M5" s="56" t="s">
        <v>377</v>
      </c>
      <c r="N5" s="53"/>
      <c r="O5" s="53"/>
    </row>
    <row r="6" spans="1:15" x14ac:dyDescent="0.25">
      <c r="A6" s="50"/>
      <c r="B6" s="50"/>
      <c r="C6" s="50"/>
      <c r="D6" s="53"/>
      <c r="E6" s="53"/>
      <c r="F6" s="53"/>
      <c r="G6" s="55"/>
      <c r="H6" s="55"/>
      <c r="I6" s="55"/>
      <c r="J6" s="58"/>
      <c r="K6" s="58"/>
      <c r="L6" s="58"/>
      <c r="M6" s="53"/>
      <c r="N6" s="53"/>
      <c r="O6" s="53"/>
    </row>
    <row r="7" spans="1:15" x14ac:dyDescent="0.25">
      <c r="A7" s="50"/>
      <c r="B7" s="50"/>
      <c r="C7" s="50"/>
      <c r="D7" s="53"/>
      <c r="E7" s="53"/>
      <c r="F7" s="53"/>
      <c r="G7" s="55"/>
      <c r="H7" s="55"/>
      <c r="I7" s="55"/>
      <c r="J7" s="58"/>
      <c r="K7" s="58"/>
      <c r="L7" s="58"/>
      <c r="M7" s="53"/>
      <c r="N7" s="53"/>
      <c r="O7" s="53"/>
    </row>
    <row r="8" spans="1:15" ht="41.25" customHeight="1" x14ac:dyDescent="0.25">
      <c r="A8" s="50"/>
      <c r="B8" s="50"/>
      <c r="C8" s="50"/>
      <c r="D8" s="53"/>
      <c r="E8" s="53"/>
      <c r="F8" s="53"/>
      <c r="G8" s="55"/>
      <c r="H8" s="55"/>
      <c r="I8" s="55"/>
      <c r="J8" s="58"/>
      <c r="K8" s="58"/>
      <c r="L8" s="58"/>
      <c r="M8" s="53"/>
      <c r="N8" s="53"/>
      <c r="O8" s="53"/>
    </row>
    <row r="9" spans="1:15" x14ac:dyDescent="0.25">
      <c r="A9" s="47"/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</row>
    <row r="10" spans="1:15" x14ac:dyDescent="0.25">
      <c r="A10" s="47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</row>
    <row r="11" spans="1:15" x14ac:dyDescent="0.25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</row>
    <row r="12" spans="1:15" x14ac:dyDescent="0.25">
      <c r="A12" s="4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</row>
    <row r="13" spans="1:15" x14ac:dyDescent="0.25">
      <c r="A13" s="47"/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</row>
    <row r="14" spans="1:15" x14ac:dyDescent="0.25">
      <c r="A14" s="47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</row>
    <row r="15" spans="1:15" x14ac:dyDescent="0.25">
      <c r="A15" s="47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</row>
    <row r="16" spans="1:15" x14ac:dyDescent="0.25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</row>
    <row r="17" spans="1:15" x14ac:dyDescent="0.25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</row>
    <row r="18" spans="1:15" x14ac:dyDescent="0.25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</row>
    <row r="19" spans="1:15" x14ac:dyDescent="0.25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</row>
    <row r="20" spans="1:15" x14ac:dyDescent="0.25">
      <c r="A20" s="47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</row>
    <row r="21" spans="1:15" x14ac:dyDescent="0.25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</row>
    <row r="22" spans="1:15" x14ac:dyDescent="0.25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</row>
    <row r="23" spans="1:15" x14ac:dyDescent="0.25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</row>
    <row r="24" spans="1:15" x14ac:dyDescent="0.25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</row>
    <row r="25" spans="1:15" x14ac:dyDescent="0.25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</row>
    <row r="26" spans="1:15" x14ac:dyDescent="0.25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</row>
    <row r="27" spans="1:15" x14ac:dyDescent="0.25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</row>
    <row r="28" spans="1:15" x14ac:dyDescent="0.25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</row>
    <row r="29" spans="1:15" x14ac:dyDescent="0.25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</row>
    <row r="30" spans="1:15" x14ac:dyDescent="0.25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</row>
    <row r="31" spans="1:15" x14ac:dyDescent="0.25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</row>
    <row r="32" spans="1:15" s="12" customFormat="1" ht="33.950000000000003" customHeight="1" x14ac:dyDescent="0.25">
      <c r="A32" s="60" t="s">
        <v>380</v>
      </c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</row>
    <row r="33" spans="1:15" ht="33.950000000000003" customHeight="1" thickBot="1" x14ac:dyDescent="0.3">
      <c r="A33" s="61" t="s">
        <v>381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</row>
    <row r="34" spans="1:15" ht="33.950000000000003" customHeight="1" thickBot="1" x14ac:dyDescent="0.3">
      <c r="A34" s="62" t="s">
        <v>382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</row>
    <row r="35" spans="1:15" ht="33.950000000000003" customHeight="1" thickBot="1" x14ac:dyDescent="0.3">
      <c r="A35" s="63" t="s">
        <v>383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</row>
    <row r="36" spans="1:15" ht="33.75" customHeight="1" thickBot="1" x14ac:dyDescent="0.3">
      <c r="A36" s="62" t="s">
        <v>384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</row>
    <row r="37" spans="1:15" ht="33.950000000000003" customHeight="1" thickBot="1" x14ac:dyDescent="0.3">
      <c r="A37" s="64" t="s">
        <v>385</v>
      </c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</row>
    <row r="38" spans="1:15" ht="21" customHeight="1" x14ac:dyDescent="0.25">
      <c r="A38" s="65" t="s">
        <v>386</v>
      </c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</row>
  </sheetData>
  <mergeCells count="15">
    <mergeCell ref="A37:O37"/>
    <mergeCell ref="A38:O38"/>
    <mergeCell ref="A32:O32"/>
    <mergeCell ref="A33:O33"/>
    <mergeCell ref="A34:O34"/>
    <mergeCell ref="A35:O35"/>
    <mergeCell ref="A36:O36"/>
    <mergeCell ref="A1:O1"/>
    <mergeCell ref="A2:O2"/>
    <mergeCell ref="A3:O3"/>
    <mergeCell ref="A5:C8"/>
    <mergeCell ref="D5:F8"/>
    <mergeCell ref="G5:I8"/>
    <mergeCell ref="J5:L8"/>
    <mergeCell ref="M5:O8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RAW_Data</vt:lpstr>
      <vt:lpstr>Calculation</vt:lpstr>
      <vt:lpstr>Pivot_Analyses</vt:lpstr>
      <vt:lpstr>Insight</vt:lpstr>
      <vt:lpstr>Dashboard</vt:lpstr>
      <vt:lpstr>Pivot_Analyses!Print_Area</vt:lpstr>
      <vt:lpstr>RAW_Data!Print_Area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Abdurrahman Rahyang</dc:creator>
  <cp:lastModifiedBy>Abdurrahman Rahyang</cp:lastModifiedBy>
  <cp:lastPrinted>2026-05-27T01:38:46Z</cp:lastPrinted>
  <dcterms:created xsi:type="dcterms:W3CDTF">2026-05-04T14:12:26Z</dcterms:created>
  <dcterms:modified xsi:type="dcterms:W3CDTF">2026-05-27T02:12:39Z</dcterms:modified>
</cp:coreProperties>
</file>